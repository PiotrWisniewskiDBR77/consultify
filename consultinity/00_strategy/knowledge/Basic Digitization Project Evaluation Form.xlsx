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oiksa-my.sharepoint.com/personal/a_alsafrani_mim_gov_sa/Documents/Desktop/BDT/الرقمنة الأساسية/"/>
    </mc:Choice>
  </mc:AlternateContent>
  <xr:revisionPtr revIDLastSave="17" documentId="8_{20B14984-5420-45A0-B32E-5671A9DDE63B}" xr6:coauthVersionLast="47" xr6:coauthVersionMax="47" xr10:uidLastSave="{95D4ACBB-834A-47F6-A553-C909ABF6371D}"/>
  <bookViews>
    <workbookView xWindow="-110" yWindow="-110" windowWidth="19420" windowHeight="11500" xr2:uid="{83B8DE99-B9B8-4F8E-A66F-D95827CAE905}"/>
  </bookViews>
  <sheets>
    <sheet name="evaluation 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7" i="2" l="1"/>
  <c r="O66" i="2"/>
  <c r="O65" i="2"/>
  <c r="O64" i="2"/>
  <c r="O63" i="2"/>
  <c r="O62" i="2"/>
  <c r="O59" i="2"/>
  <c r="O58" i="2"/>
  <c r="O57" i="2"/>
  <c r="O56" i="2"/>
  <c r="O55" i="2"/>
  <c r="O54" i="2"/>
  <c r="O53" i="2"/>
  <c r="O52" i="2"/>
  <c r="O51" i="2"/>
  <c r="O50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N61" i="2"/>
  <c r="M61" i="2"/>
  <c r="L61" i="2"/>
  <c r="K61" i="2"/>
  <c r="J61" i="2"/>
  <c r="I61" i="2"/>
  <c r="H61" i="2"/>
  <c r="G61" i="2"/>
  <c r="F61" i="2"/>
  <c r="E61" i="2"/>
  <c r="D61" i="2"/>
  <c r="N49" i="2"/>
  <c r="M49" i="2"/>
  <c r="L49" i="2"/>
  <c r="K49" i="2"/>
  <c r="J49" i="2"/>
  <c r="I49" i="2"/>
  <c r="H49" i="2"/>
  <c r="G49" i="2"/>
  <c r="F49" i="2"/>
  <c r="E49" i="2"/>
  <c r="D49" i="2"/>
  <c r="N30" i="2"/>
  <c r="M30" i="2"/>
  <c r="L30" i="2"/>
  <c r="K30" i="2"/>
  <c r="J30" i="2"/>
  <c r="I30" i="2"/>
  <c r="H30" i="2"/>
  <c r="G30" i="2"/>
  <c r="F30" i="2"/>
  <c r="E30" i="2"/>
  <c r="D30" i="2"/>
  <c r="O61" i="2" l="1"/>
  <c r="O49" i="2"/>
  <c r="P52" i="2" s="1"/>
  <c r="O30" i="2"/>
  <c r="D47" i="2"/>
  <c r="L47" i="2"/>
  <c r="L69" i="2" s="1"/>
  <c r="I47" i="2"/>
  <c r="I69" i="2" s="1"/>
  <c r="E47" i="2"/>
  <c r="E69" i="2" s="1"/>
  <c r="M47" i="2"/>
  <c r="M69" i="2" s="1"/>
  <c r="H47" i="2"/>
  <c r="H69" i="2" s="1"/>
  <c r="G47" i="2"/>
  <c r="G69" i="2" s="1"/>
  <c r="F47" i="2"/>
  <c r="F69" i="2" s="1"/>
  <c r="N47" i="2"/>
  <c r="N69" i="2" s="1"/>
  <c r="K47" i="2"/>
  <c r="K69" i="2" s="1"/>
  <c r="J47" i="2"/>
  <c r="J69" i="2" s="1"/>
  <c r="P66" i="2" l="1"/>
  <c r="P62" i="2"/>
  <c r="P67" i="2"/>
  <c r="P65" i="2"/>
  <c r="P64" i="2"/>
  <c r="P63" i="2"/>
  <c r="P45" i="2"/>
  <c r="P30" i="2"/>
  <c r="P55" i="2"/>
  <c r="P56" i="2"/>
  <c r="P50" i="2"/>
  <c r="P51" i="2"/>
  <c r="P53" i="2"/>
  <c r="P57" i="2"/>
  <c r="P59" i="2"/>
  <c r="P54" i="2"/>
  <c r="P58" i="2"/>
  <c r="P33" i="2"/>
  <c r="P40" i="2"/>
  <c r="P37" i="2"/>
  <c r="P44" i="2"/>
  <c r="P38" i="2"/>
  <c r="P36" i="2"/>
  <c r="P43" i="2"/>
  <c r="P41" i="2"/>
  <c r="P31" i="2"/>
  <c r="P34" i="2"/>
  <c r="P42" i="2"/>
  <c r="P39" i="2"/>
  <c r="P32" i="2"/>
  <c r="P35" i="2"/>
  <c r="D69" i="2"/>
  <c r="G78" i="2" s="1"/>
  <c r="O47" i="2"/>
  <c r="P49" i="2" l="1"/>
  <c r="P47" i="2"/>
  <c r="P61" i="2"/>
  <c r="G77" i="2"/>
  <c r="O69" i="2"/>
  <c r="D70" i="2"/>
  <c r="E70" i="2" s="1"/>
  <c r="F70" i="2" l="1"/>
  <c r="G70" i="2" l="1"/>
  <c r="H70" i="2" s="1"/>
  <c r="I70" i="2" s="1"/>
  <c r="J70" i="2" s="1"/>
  <c r="K70" i="2" s="1"/>
  <c r="L70" i="2" s="1"/>
  <c r="M70" i="2" s="1"/>
  <c r="N70" i="2" s="1"/>
  <c r="H79" i="2" l="1"/>
  <c r="G80" i="2" s="1"/>
  <c r="N77" i="2" s="1"/>
  <c r="N78" i="2" l="1"/>
  <c r="N79" i="2"/>
  <c r="M78" i="2"/>
  <c r="M79" i="2" s="1"/>
  <c r="M77" i="2"/>
</calcChain>
</file>

<file path=xl/sharedStrings.xml><?xml version="1.0" encoding="utf-8"?>
<sst xmlns="http://schemas.openxmlformats.org/spreadsheetml/2006/main" count="92" uniqueCount="88">
  <si>
    <t>Basic Digitization Project Evaluation Form</t>
  </si>
  <si>
    <t>Manufacturing Company Name</t>
  </si>
  <si>
    <t>Solution Provider Company Name</t>
  </si>
  <si>
    <t>Project Name</t>
  </si>
  <si>
    <t>Project Description</t>
  </si>
  <si>
    <t>Investment</t>
  </si>
  <si>
    <t>Description</t>
  </si>
  <si>
    <t>Software</t>
  </si>
  <si>
    <t>System Integration</t>
  </si>
  <si>
    <t>Labor implementation cost</t>
  </si>
  <si>
    <t>Other investment costs</t>
  </si>
  <si>
    <t>Travel and expenses</t>
  </si>
  <si>
    <t>Energy cost</t>
  </si>
  <si>
    <t>Material cost</t>
  </si>
  <si>
    <t>Machinery, Equipment, and Hardware</t>
  </si>
  <si>
    <t>Subscriptions and licenses</t>
  </si>
  <si>
    <t>Installation and Configuration</t>
  </si>
  <si>
    <t>Operations cost</t>
  </si>
  <si>
    <t>Maintenance cost</t>
  </si>
  <si>
    <t>Training costs</t>
  </si>
  <si>
    <t>Infrastructure</t>
  </si>
  <si>
    <t>Benefits</t>
  </si>
  <si>
    <t>Maintenance cost reduction</t>
  </si>
  <si>
    <t>Logistics and distribution</t>
  </si>
  <si>
    <t>Logistics and distribution cost reduction</t>
  </si>
  <si>
    <t>Cost Reduction</t>
  </si>
  <si>
    <t>Operations cost reduction</t>
  </si>
  <si>
    <t>Energy cost reduction</t>
  </si>
  <si>
    <t>Materials costs reduction</t>
  </si>
  <si>
    <t>Labor cost reduction</t>
  </si>
  <si>
    <t>Inspection cost reduction</t>
  </si>
  <si>
    <t>Enhance reliability</t>
  </si>
  <si>
    <t>Waste reduction</t>
  </si>
  <si>
    <t>Other cost reduction</t>
  </si>
  <si>
    <t>Revenue Enhancement</t>
  </si>
  <si>
    <t>Increased yield</t>
  </si>
  <si>
    <t>Improved quality</t>
  </si>
  <si>
    <t>Increased demand</t>
  </si>
  <si>
    <t>Increased throughput and capacity</t>
  </si>
  <si>
    <t>Improved margins</t>
  </si>
  <si>
    <t>Other revenue enhancements</t>
  </si>
  <si>
    <t>Category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</si>
  <si>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</si>
  <si>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</si>
  <si>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</si>
  <si>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</si>
  <si>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</si>
  <si>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</si>
  <si>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</si>
  <si>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</si>
  <si>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</si>
  <si>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</si>
  <si>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</si>
  <si>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Aggregate Cashflow</t>
  </si>
  <si>
    <t>Net Cashflow</t>
  </si>
  <si>
    <t>Economic Basis and Assumptions</t>
  </si>
  <si>
    <t>Discount Rate</t>
  </si>
  <si>
    <t>NPV</t>
  </si>
  <si>
    <t>IRR</t>
  </si>
  <si>
    <t>Payback Period</t>
  </si>
  <si>
    <t>KSAR</t>
  </si>
  <si>
    <t>Years</t>
  </si>
  <si>
    <t># years with negative cashflow</t>
  </si>
  <si>
    <t>Total</t>
  </si>
  <si>
    <t>%</t>
  </si>
  <si>
    <t>Key Financials</t>
  </si>
  <si>
    <t>Project Support Recommendation</t>
  </si>
  <si>
    <t>Recommend supporting project</t>
  </si>
  <si>
    <t>Minimum acceptable IRR</t>
  </si>
  <si>
    <t>Maximum acceptable payback period (yrs)</t>
  </si>
  <si>
    <t>Investment considerd by project</t>
  </si>
  <si>
    <t>Maximum grant offer</t>
  </si>
  <si>
    <t>Results Summary</t>
  </si>
  <si>
    <t>Instructions for completing the form:</t>
  </si>
  <si>
    <t>Please fill the cells below that appear in the following shade of light grey.</t>
  </si>
  <si>
    <t>Date of form submittal</t>
  </si>
  <si>
    <t>Name of submitter</t>
  </si>
  <si>
    <t>Phone number</t>
  </si>
  <si>
    <t>Project Category (Please select all that apply)</t>
  </si>
  <si>
    <t>ERP, CRM, and production planning solutions</t>
  </si>
  <si>
    <t>Warehouse and material handling systems (such as cranes, forklifts, and inventory management solutions)</t>
  </si>
  <si>
    <t>Other solutions that support digitizing the factory (please specify in the project description field)</t>
  </si>
  <si>
    <t>IoT devices and solutions</t>
  </si>
  <si>
    <t>Communications and control systems for factories, including SACADA, MES, and MOM</t>
  </si>
  <si>
    <t>No</t>
  </si>
  <si>
    <t>Section 1: Projectg Basic Information</t>
  </si>
  <si>
    <t>Section 2: Cahsflow Analysis (Thousand SAR)</t>
  </si>
  <si>
    <t>Section 3: Impact Analysis and Recommendations (For internal use, not to be filled by form submitter)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</si>
</sst>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F3355"/>
        <bgColor indexed="64"/>
      </patternFill>
    </fill>
    <fill>
      <patternFill patternType="solid">
        <fgColor rgb="FF66D6C7"/>
        <bgColor indexed="64"/>
      </patternFill>
    </fill>
    <fill>
      <patternFill patternType="solid">
        <fgColor rgb="FFBAA2A0"/>
        <bgColor indexed="64"/>
      </patternFill>
    </fill>
    <fill>
      <patternFill patternType="solid">
        <fgColor rgb="FFE2E1E5"/>
        <bgColor indexed="64"/>
      </patternFill>
    </fill>
    <fill>
      <patternFill patternType="solid">
        <fgColor rgb="FFA3A3A5"/>
        <bgColor indexed="64"/>
      </patternFill>
    </fill>
    <fill>
      <patternFill patternType="solid">
        <fgColor rgb="FF4F4F51"/>
        <bgColor indexed="64"/>
      </patternFill>
    </fill>
  </fills>
  <borders count="7">
    <border>
      <left/>
      <right/>
      <top/>
      <bottom/>
      <diagonal/>
    </border>
    <border>
      <left style="thin">
        <color rgb="FFE2E1E5"/>
      </left>
      <right style="thin">
        <color rgb="FFE2E1E5"/>
      </right>
      <top style="thin">
        <color rgb="FFE2E1E5"/>
      </top>
      <bottom style="thin">
        <color rgb="FFE2E1E5"/>
      </bottom>
      <diagonal/>
    </border>
    <border>
      <left/>
      <right/>
      <top/>
      <bottom style="medium">
        <color rgb="FF66D6C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E2E1E5"/>
      </left>
      <right/>
      <top style="thin">
        <color rgb="FFE2E1E5"/>
      </top>
      <bottom style="thin">
        <color rgb="FFE2E1E5"/>
      </bottom>
      <diagonal/>
    </border>
    <border>
      <left/>
      <right style="thin">
        <color rgb="FFE2E1E5"/>
      </right>
      <top style="thin">
        <color rgb="FFE2E1E5"/>
      </top>
      <bottom style="thin">
        <color rgb="FFE2E1E5"/>
      </bottom>
      <diagonal/>
    </border>
    <border>
      <left style="thin">
        <color rgb="FFE2E1E5"/>
      </left>
      <right style="thin">
        <color rgb="FFE2E1E5"/>
      </right>
      <top style="thin">
        <color rgb="FFE2E1E5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3" fillId="3" borderId="0" xfId="0" applyFont="1" applyFill="1"/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7" borderId="1" xfId="0" applyFont="1" applyFill="1" applyBorder="1"/>
    <xf numFmtId="0" fontId="4" fillId="4" borderId="1" xfId="0" applyFont="1" applyFill="1" applyBorder="1" applyAlignment="1">
      <alignment wrapText="1"/>
    </xf>
    <xf numFmtId="0" fontId="0" fillId="4" borderId="1" xfId="0" applyFill="1" applyBorder="1"/>
    <xf numFmtId="0" fontId="0" fillId="2" borderId="1" xfId="0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9" fontId="0" fillId="2" borderId="0" xfId="0" applyNumberFormat="1" applyFill="1"/>
    <xf numFmtId="3" fontId="4" fillId="4" borderId="1" xfId="0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3" fillId="8" borderId="0" xfId="0" applyFont="1" applyFill="1"/>
    <xf numFmtId="0" fontId="5" fillId="2" borderId="0" xfId="0" applyFont="1" applyFill="1"/>
    <xf numFmtId="0" fontId="0" fillId="2" borderId="2" xfId="0" applyFill="1" applyBorder="1"/>
    <xf numFmtId="9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9" fontId="0" fillId="2" borderId="1" xfId="0" applyNumberFormat="1" applyFill="1" applyBorder="1" applyAlignment="1">
      <alignment horizontal="left"/>
    </xf>
    <xf numFmtId="3" fontId="0" fillId="2" borderId="1" xfId="0" applyNumberFormat="1" applyFill="1" applyBorder="1"/>
    <xf numFmtId="9" fontId="0" fillId="2" borderId="1" xfId="0" applyNumberFormat="1" applyFill="1" applyBorder="1"/>
    <xf numFmtId="2" fontId="0" fillId="2" borderId="1" xfId="0" applyNumberFormat="1" applyFill="1" applyBorder="1"/>
    <xf numFmtId="0" fontId="0" fillId="6" borderId="3" xfId="0" applyFill="1" applyBorder="1"/>
    <xf numFmtId="0" fontId="0" fillId="2" borderId="4" xfId="0" applyFill="1" applyBorder="1" applyAlignment="1">
      <alignment vertical="center" wrapText="1"/>
    </xf>
    <xf numFmtId="0" fontId="5" fillId="8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6" xfId="0" applyFill="1" applyBorder="1"/>
    <xf numFmtId="0" fontId="4" fillId="7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3" fontId="0" fillId="2" borderId="5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vertical="center" wrapText="1"/>
    </xf>
    <xf numFmtId="0" fontId="0" fillId="6" borderId="3" xfId="0" applyFill="1" applyBorder="1" applyAlignment="1">
      <alignment horizontal="center" vertical="center" wrapText="1"/>
    </xf>
    <xf numFmtId="3" fontId="0" fillId="2" borderId="5" xfId="0" applyNumberForma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 wrapText="1"/>
    </xf>
    <xf numFmtId="0" fontId="8" fillId="2" borderId="0" xfId="0" applyFont="1" applyFill="1"/>
    <xf numFmtId="0" fontId="4" fillId="2" borderId="0" xfId="0" applyFont="1" applyFill="1"/>
    <xf numFmtId="3" fontId="0" fillId="2" borderId="1" xfId="0" applyNumberFormat="1" applyFill="1" applyBorder="1" applyAlignment="1">
      <alignment horizontal="right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7" fillId="2" borderId="0" xfId="0" applyFont="1" applyFill="1" applyAlignment="1">
      <alignment horizontal="center"/>
    </xf>
    <xf numFmtId="0" fontId="0" fillId="6" borderId="0" xfId="0" applyFill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D6C7"/>
      <color rgb="FFE2E1E5"/>
      <color rgb="FF4F4F51"/>
      <color rgb="FF3F3355"/>
      <color rgb="FFA3A3A5"/>
      <color rgb="FFBAA2A0"/>
      <color rgb="FF1AD9C7"/>
      <color rgb="FFBFA19F"/>
      <color rgb="FFEFCAC7"/>
      <color rgb="FF825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Cashflow (Thousand SAR)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'evaluation form'!$B$69</c:f>
              <c:strCache>
                <c:ptCount val="1"/>
                <c:pt idx="0">
                  <c:v>Net Cashflow</c:v>
                </c:pt>
              </c:strCache>
            </c:strRef>
          </c:tx>
          <c:spPr>
            <a:solidFill>
              <a:srgbClr val="66D6C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'evaluation form'!$D$28:$N$28</c:f>
              <c:strCache>
                <c:ptCount val="11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</c:strCache>
            </c:strRef>
          </c:cat>
          <c:val>
            <c:numRef>
              <c:f>'evaluation form'!$D$69:$N$69</c:f>
              <c:numCache>
                <c:formatCode>#,##0</c:formatCode>
                <c:ptCount val="11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D-4668-9907-96AD0CFDAD19}"/>
            </c:ext>
          </c:extLst>
        </c:ser>
        <c:ser>
          <c:idx val="1"/>
          <c:order val="1"/>
          <c:tx>
            <c:strRef>
              <c:f>'evaluation form'!$B$70</c:f>
              <c:strCache>
                <c:ptCount val="1"/>
                <c:pt idx="0">
                  <c:v>Aggregate Cashflow</c:v>
                </c:pt>
              </c:strCache>
            </c:strRef>
          </c:tx>
          <c:spPr>
            <a:solidFill>
              <a:srgbClr val="3F335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'evaluation form'!$D$28:$N$28</c:f>
              <c:strCache>
                <c:ptCount val="11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</c:strCache>
            </c:strRef>
          </c:cat>
          <c:val>
            <c:numRef>
              <c:f>'evaluation form'!$D$70:$N$70</c:f>
              <c:numCache>
                <c:formatCode>#,##0</c:formatCode>
                <c:ptCount val="1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D-4668-9907-96AD0CFDA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5543999"/>
        <c:axId val="1225544479"/>
      </c:barChart>
      <c:catAx>
        <c:axId val="122554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544479"/>
        <c:crosses val="autoZero"/>
        <c:auto val="1"/>
        <c:lblAlgn val="ctr"/>
        <c:lblOffset val="100"/>
        <c:noMultiLvlLbl val="0"/>
      </c:catAx>
      <c:valAx>
        <c:axId val="12255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54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Investment Cost</a:t>
            </a:r>
            <a:r>
              <a:rPr lang="en-US" b="1" baseline="0"/>
              <a:t> Distribution (Thousand SAR)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763807943887836E-2"/>
          <c:y val="0.15886733177367632"/>
          <c:w val="0.51152211819254223"/>
          <c:h val="0.37501233685668039"/>
        </c:manualLayout>
      </c:layout>
      <c:doughnutChart>
        <c:varyColors val="1"/>
        <c:ser>
          <c:idx val="0"/>
          <c:order val="0"/>
          <c:tx>
            <c:strRef>
              <c:f>'evaluation form'!$B$30</c:f>
              <c:strCache>
                <c:ptCount val="1"/>
                <c:pt idx="0">
                  <c:v>Investment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0B-4B2E-9AA0-498D821148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0B-4B2E-9AA0-498D821148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0B-4B2E-9AA0-498D821148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0B-4B2E-9AA0-498D821148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0B-4B2E-9AA0-498D821148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0B-4B2E-9AA0-498D821148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40B-4B2E-9AA0-498D821148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40B-4B2E-9AA0-498D821148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40B-4B2E-9AA0-498D821148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40B-4B2E-9AA0-498D8211487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40B-4B2E-9AA0-498D8211487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40B-4B2E-9AA0-498D8211487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40B-4B2E-9AA0-498D8211487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40B-4B2E-9AA0-498D8211487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40B-4B2E-9AA0-498D82114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'evaluation form'!$B$31:$B$45</c:f>
              <c:strCache>
                <c:ptCount val="15"/>
                <c:pt idx="0">
                  <c:v>Machinery, Equipment, and Hardware</c:v>
                </c:pt>
                <c:pt idx="1">
                  <c:v>Infrastructure</c:v>
                </c:pt>
                <c:pt idx="2">
                  <c:v>Software</c:v>
                </c:pt>
                <c:pt idx="3">
                  <c:v>System Integration</c:v>
                </c:pt>
                <c:pt idx="4">
                  <c:v>Installation and Configuration</c:v>
                </c:pt>
                <c:pt idx="5">
                  <c:v>Subscriptions and licenses</c:v>
                </c:pt>
                <c:pt idx="6">
                  <c:v>Operations cost</c:v>
                </c:pt>
                <c:pt idx="7">
                  <c:v>Maintenance cost</c:v>
                </c:pt>
                <c:pt idx="8">
                  <c:v>Energy cost</c:v>
                </c:pt>
                <c:pt idx="9">
                  <c:v>Material cost</c:v>
                </c:pt>
                <c:pt idx="10">
                  <c:v>Logistics and distribution</c:v>
                </c:pt>
                <c:pt idx="11">
                  <c:v>Labor implementation cost</c:v>
                </c:pt>
                <c:pt idx="12">
                  <c:v>Travel and expenses</c:v>
                </c:pt>
                <c:pt idx="13">
                  <c:v>Training costs</c:v>
                </c:pt>
                <c:pt idx="14">
                  <c:v>Other investment costs</c:v>
                </c:pt>
              </c:strCache>
            </c:strRef>
          </c:cat>
          <c:val>
            <c:numRef>
              <c:f>'evaluation form'!$O$31:$O$45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F8-4DD2-A424-3ED24D3BB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Expected</a:t>
            </a:r>
            <a:r>
              <a:rPr lang="en-GB" b="1" baseline="0"/>
              <a:t> Project Benefits (Thousand SAR)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83-4627-8FD1-D31A83C29AB1}"/>
              </c:ext>
            </c:extLst>
          </c:dPt>
          <c:cat>
            <c:strRef>
              <c:f>('evaluation form'!$B$49,'evaluation form'!$B$61)</c:f>
              <c:strCache>
                <c:ptCount val="2"/>
                <c:pt idx="0">
                  <c:v>Cost Reduction</c:v>
                </c:pt>
                <c:pt idx="1">
                  <c:v>Revenue Enhancement</c:v>
                </c:pt>
              </c:strCache>
            </c:strRef>
          </c:cat>
          <c:val>
            <c:numRef>
              <c:f>'evaluation form'!$B$47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B-4772-84D2-3C1E2CA04561}"/>
            </c:ext>
          </c:extLst>
        </c:ser>
        <c:ser>
          <c:idx val="1"/>
          <c:order val="1"/>
          <c:tx>
            <c:strRef>
              <c:f>'evaluation form'!$B$47</c:f>
              <c:strCache>
                <c:ptCount val="1"/>
                <c:pt idx="0">
                  <c:v>Benefits</c:v>
                </c:pt>
              </c:strCache>
            </c:strRef>
          </c:tx>
          <c:spPr>
            <a:solidFill>
              <a:srgbClr val="66D6C7"/>
            </a:solidFill>
          </c:spPr>
          <c:dPt>
            <c:idx val="0"/>
            <c:bubble3D val="0"/>
            <c:spPr>
              <a:solidFill>
                <a:srgbClr val="3F335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1B-4772-84D2-3C1E2CA04561}"/>
              </c:ext>
            </c:extLst>
          </c:dPt>
          <c:dPt>
            <c:idx val="1"/>
            <c:bubble3D val="0"/>
            <c:spPr>
              <a:solidFill>
                <a:srgbClr val="66D6C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01B-4772-84D2-3C1E2CA04561}"/>
              </c:ext>
            </c:extLst>
          </c:dPt>
          <c:dLbls>
            <c:dLbl>
              <c:idx val="0"/>
              <c:layout>
                <c:manualLayout>
                  <c:x val="0.17222222222222211"/>
                  <c:y val="-9.259259259259258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1B-4772-84D2-3C1E2CA04561}"/>
                </c:ext>
              </c:extLst>
            </c:dLbl>
            <c:dLbl>
              <c:idx val="1"/>
              <c:layout>
                <c:manualLayout>
                  <c:x val="-0.10833333333333331"/>
                  <c:y val="-7.870370370370370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1B-4772-84D2-3C1E2CA045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('evaluation form'!$B$49,'evaluation form'!$B$61)</c:f>
              <c:strCache>
                <c:ptCount val="2"/>
                <c:pt idx="0">
                  <c:v>Cost Reduction</c:v>
                </c:pt>
                <c:pt idx="1">
                  <c:v>Revenue Enhancement</c:v>
                </c:pt>
              </c:strCache>
            </c:strRef>
          </c:cat>
          <c:val>
            <c:numRef>
              <c:f>('evaluation form'!$O$49,'evaluation form'!$O$61)</c:f>
              <c:numCache>
                <c:formatCode>#,##0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1B-4772-84D2-3C1E2CA04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Expected</a:t>
            </a:r>
            <a:r>
              <a:rPr lang="en-GB" b="1" baseline="0"/>
              <a:t> Cost Reduction by Category (Thousand SAR)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'evaluation form'!$B$49</c:f>
              <c:strCache>
                <c:ptCount val="1"/>
                <c:pt idx="0">
                  <c:v>Cost Reduction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D2-462D-8630-956EA5059A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DF-4B6E-8A63-662D991B97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DF-4B6E-8A63-662D991B97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DF-4B6E-8A63-662D991B97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DF-4B6E-8A63-662D991B97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DF-4B6E-8A63-662D991B97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3DF-4B6E-8A63-662D991B97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3DF-4B6E-8A63-662D991B97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3DF-4B6E-8A63-662D991B97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3DF-4B6E-8A63-662D991B97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'evaluation form'!$B$50:$B$59</c:f>
              <c:strCache>
                <c:ptCount val="10"/>
                <c:pt idx="0">
                  <c:v>Operations cost reduction</c:v>
                </c:pt>
                <c:pt idx="1">
                  <c:v>Maintenance cost reduction</c:v>
                </c:pt>
                <c:pt idx="2">
                  <c:v>Materials costs reduction</c:v>
                </c:pt>
                <c:pt idx="3">
                  <c:v>Energy cost reduction</c:v>
                </c:pt>
                <c:pt idx="4">
                  <c:v>Labor cost reduction</c:v>
                </c:pt>
                <c:pt idx="5">
                  <c:v>Logistics and distribution cost reduction</c:v>
                </c:pt>
                <c:pt idx="6">
                  <c:v>Inspection cost reduction</c:v>
                </c:pt>
                <c:pt idx="7">
                  <c:v>Waste reduction</c:v>
                </c:pt>
                <c:pt idx="8">
                  <c:v>Enhance reliability</c:v>
                </c:pt>
                <c:pt idx="9">
                  <c:v>Other cost reduction</c:v>
                </c:pt>
              </c:strCache>
            </c:strRef>
          </c:cat>
          <c:val>
            <c:numRef>
              <c:f>'evaluation form'!$O$50:$O$59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D2-462D-8630-956EA5059A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Expected</a:t>
            </a:r>
            <a:r>
              <a:rPr lang="en-GB" b="1" baseline="0"/>
              <a:t> Revenue Enhancement by Category (Thousand SAR)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'evaluation form'!$B$61</c:f>
              <c:strCache>
                <c:ptCount val="1"/>
                <c:pt idx="0">
                  <c:v>Revenue Enhancement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7A-4FEF-B63A-46AAFA90C6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7A-4FEF-B63A-46AAFA90C6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7A-4FEF-B63A-46AAFA90C6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7A-4FEF-B63A-46AAFA90C6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7A-4FEF-B63A-46AAFA90C6C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57A-4FEF-B63A-46AAFA90C6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'evaluation form'!$B$62:$B$67</c:f>
              <c:strCache>
                <c:ptCount val="6"/>
                <c:pt idx="0">
                  <c:v>Increased yield</c:v>
                </c:pt>
                <c:pt idx="1">
                  <c:v>Improved quality</c:v>
                </c:pt>
                <c:pt idx="2">
                  <c:v>Increased throughput and capacity</c:v>
                </c:pt>
                <c:pt idx="3">
                  <c:v>Increased demand</c:v>
                </c:pt>
                <c:pt idx="4">
                  <c:v>Improved margins</c:v>
                </c:pt>
                <c:pt idx="5">
                  <c:v>Other revenue enhancements</c:v>
                </c:pt>
              </c:strCache>
            </c:strRef>
          </c:cat>
          <c:val>
            <c:numRef>
              <c:f>'evaluation form'!$O$62:$O$67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57A-4FEF-B63A-46AAFA90C6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chart" Target="../charts/chart2.xml"/><Relationship Id="rId7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68262</xdr:colOff>
      <xdr:row>0</xdr:row>
      <xdr:rowOff>97744</xdr:rowOff>
    </xdr:from>
    <xdr:to>
      <xdr:col>1</xdr:col>
      <xdr:colOff>2051801</xdr:colOff>
      <xdr:row>3</xdr:row>
      <xdr:rowOff>69789</xdr:rowOff>
    </xdr:to>
    <xdr:pic>
      <xdr:nvPicPr>
        <xdr:cNvPr id="3" name="Picture 2" descr="Text&#10;&#10;Description automatically generated">
          <a:extLst>
            <a:ext uri="{FF2B5EF4-FFF2-40B4-BE49-F238E27FC236}">
              <a16:creationId xmlns:a16="http://schemas.microsoft.com/office/drawing/2014/main" id="{97789A03-AE6C-4C8A-A872-42D40C541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333" y="97744"/>
          <a:ext cx="1983570" cy="548485"/>
        </a:xfrm>
        <a:prstGeom prst="rect">
          <a:avLst/>
        </a:prstGeom>
      </xdr:spPr>
    </xdr:pic>
    <xdr:clientData/>
  </xdr:twoCellAnchor>
  <xdr:twoCellAnchor>
    <xdr:from>
      <xdr:col>1</xdr:col>
      <xdr:colOff>55560</xdr:colOff>
      <xdr:row>83</xdr:row>
      <xdr:rowOff>165097</xdr:rowOff>
    </xdr:from>
    <xdr:to>
      <xdr:col>8</xdr:col>
      <xdr:colOff>45357</xdr:colOff>
      <xdr:row>102</xdr:row>
      <xdr:rowOff>14286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436CA2-1E5A-DCF6-9054-902F9A82F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265562</xdr:colOff>
      <xdr:row>84</xdr:row>
      <xdr:rowOff>108625</xdr:rowOff>
    </xdr:from>
    <xdr:to>
      <xdr:col>15</xdr:col>
      <xdr:colOff>294137</xdr:colOff>
      <xdr:row>118</xdr:row>
      <xdr:rowOff>134029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10478E-66BF-6DCD-AC00-24F4C8DA7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1356858</xdr:colOff>
      <xdr:row>105</xdr:row>
      <xdr:rowOff>46034</xdr:rowOff>
    </xdr:from>
    <xdr:to>
      <xdr:col>7</xdr:col>
      <xdr:colOff>592588</xdr:colOff>
      <xdr:row>120</xdr:row>
      <xdr:rowOff>26984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594971-956A-BB6B-E99F-905B4C1A9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349926</xdr:colOff>
      <xdr:row>121</xdr:row>
      <xdr:rowOff>109537</xdr:rowOff>
    </xdr:from>
    <xdr:to>
      <xdr:col>4</xdr:col>
      <xdr:colOff>248104</xdr:colOff>
      <xdr:row>153</xdr:row>
      <xdr:rowOff>95248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F08E67A-354F-4526-A443-02F432C63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315911</xdr:colOff>
      <xdr:row>121</xdr:row>
      <xdr:rowOff>126998</xdr:rowOff>
    </xdr:from>
    <xdr:to>
      <xdr:col>14</xdr:col>
      <xdr:colOff>136071</xdr:colOff>
      <xdr:row>153</xdr:row>
      <xdr:rowOff>126997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3361953-3E00-40AA-8B05-BD496EC81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455158</xdr:colOff>
      <xdr:row>118</xdr:row>
      <xdr:rowOff>158976</xdr:rowOff>
    </xdr:from>
    <xdr:to>
      <xdr:col>5</xdr:col>
      <xdr:colOff>71162</xdr:colOff>
      <xdr:row>123</xdr:row>
      <xdr:rowOff>166186</xdr:rowOff>
    </xdr:to>
    <xdr:pic>
      <xdr:nvPicPr>
        <xdr:cNvPr id="13" name="Graphic 1" descr="Fork In Road with solid fill">
          <a:extLst>
            <a:ext uri="{FF2B5EF4-FFF2-40B4-BE49-F238E27FC236}">
              <a16:creationId xmlns:a16="http://schemas.microsoft.com/office/drawing/2014/main" id="{2C2C579A-42AD-1F34-C31F-BCEFD49DD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V="1">
          <a:off x="6297158" y="20841833"/>
          <a:ext cx="915987" cy="912813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0.19067</cdr:x>
      <cdr:y>0.32027</cdr:y>
    </cdr:from>
    <cdr:to>
      <cdr:x>0.41011</cdr:x>
      <cdr:y>0.37608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36A04936-7605-402E-AA44-0BF428996D8F}"/>
            </a:ext>
          </a:extLst>
        </cdr:cNvPr>
        <cdr:cNvSpPr txBox="1"/>
      </cdr:nvSpPr>
      <cdr:spPr>
        <a:xfrm xmlns:a="http://schemas.openxmlformats.org/drawingml/2006/main">
          <a:off x="864760" y="1983224"/>
          <a:ext cx="995287" cy="3455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8A7E4E9-F3FF-49C4-9E10-45F3D7F7CFC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449</a:t>
          </a:fld>
          <a:endParaRPr lang="en-GB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0.38654</cdr:x>
      <cdr:y>0.49977</cdr:y>
    </cdr:from>
    <cdr:to>
      <cdr:x>0.60563</cdr:x>
      <cdr:y>0.62824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827B99F3-2DD7-F45A-E116-60DB15D4D0F6}"/>
            </a:ext>
          </a:extLst>
        </cdr:cNvPr>
        <cdr:cNvSpPr txBox="1"/>
      </cdr:nvSpPr>
      <cdr:spPr>
        <a:xfrm xmlns:a="http://schemas.openxmlformats.org/drawingml/2006/main">
          <a:off x="1758742" y="1350565"/>
          <a:ext cx="996892" cy="347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E860F44-4C27-4155-8365-EBF02CA9B14A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1,969</a:t>
          </a:fld>
          <a:endParaRPr lang="en-GB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0.24053</cdr:x>
      <cdr:y>0.46539</cdr:y>
    </cdr:from>
    <cdr:to>
      <cdr:x>0.45962</cdr:x>
      <cdr:y>0.59386</cdr:y>
    </cdr:to>
    <cdr:sp macro="" textlink="'evaluation form'!$O$49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827B99F3-2DD7-F45A-E116-60DB15D4D0F6}"/>
            </a:ext>
          </a:extLst>
        </cdr:cNvPr>
        <cdr:cNvSpPr txBox="1"/>
      </cdr:nvSpPr>
      <cdr:spPr>
        <a:xfrm xmlns:a="http://schemas.openxmlformats.org/drawingml/2006/main">
          <a:off x="1380296" y="2695991"/>
          <a:ext cx="1257268" cy="7442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C569D81-AB87-45F4-8733-F953747CB18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</a:t>
          </a:fld>
          <a:endParaRPr lang="en-GB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0.24096</cdr:x>
      <cdr:y>0.47002</cdr:y>
    </cdr:from>
    <cdr:to>
      <cdr:x>0.46004</cdr:x>
      <cdr:y>0.59849</cdr:y>
    </cdr:to>
    <cdr:sp macro="" textlink="'evaluation form'!$O$61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827B99F3-2DD7-F45A-E116-60DB15D4D0F6}"/>
            </a:ext>
          </a:extLst>
        </cdr:cNvPr>
        <cdr:cNvSpPr txBox="1"/>
      </cdr:nvSpPr>
      <cdr:spPr>
        <a:xfrm xmlns:a="http://schemas.openxmlformats.org/drawingml/2006/main">
          <a:off x="1512579" y="2728816"/>
          <a:ext cx="1375321" cy="7458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6300E6D-7D59-4CF1-B81C-7F0F6006618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180</a:t>
          </a:fld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7B23-F177-4C1D-BAC7-FCC91EF8113C}">
  <sheetPr codeName="Sheet2"/>
  <dimension ref="B3:P84"/>
  <sheetViews>
    <sheetView tabSelected="1" zoomScale="72" zoomScaleNormal="100" workbookViewId="0">
      <selection activeCell="C53" sqref="C53"/>
    </sheetView>
  </sheetViews>
  <sheetFormatPr defaultColWidth="9.1796875" defaultRowHeight="14.5" x14ac:dyDescent="0.35"/>
  <cols>
    <col min="1" max="1" width="9.1796875" style="1"/>
    <col min="2" max="2" width="34.7265625" style="1" bestFit="1" customWidth="1"/>
    <col min="3" max="3" width="38" style="1" customWidth="1"/>
    <col min="4" max="4" width="9.1796875" style="1"/>
    <col min="5" max="5" width="9.26953125" style="1" bestFit="1" customWidth="1"/>
    <col min="6" max="16384" width="9.1796875" style="1"/>
  </cols>
  <sheetData>
    <row r="3" spans="2:16" ht="18.5" x14ac:dyDescent="0.45">
      <c r="B3" s="47" t="s">
        <v>0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spans="2:16" ht="15" thickBot="1" x14ac:dyDescent="0.4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6" spans="2:16" x14ac:dyDescent="0.35">
      <c r="B6" s="42" t="s">
        <v>73</v>
      </c>
      <c r="C6" s="1" t="s">
        <v>74</v>
      </c>
      <c r="G6" s="32"/>
    </row>
    <row r="8" spans="2:16" x14ac:dyDescent="0.35">
      <c r="B8" s="3" t="s">
        <v>85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10" spans="2:16" x14ac:dyDescent="0.35">
      <c r="B10" s="1" t="s">
        <v>1</v>
      </c>
      <c r="C10" s="28"/>
      <c r="E10" s="43" t="s">
        <v>78</v>
      </c>
    </row>
    <row r="11" spans="2:16" x14ac:dyDescent="0.35">
      <c r="B11" s="1" t="s">
        <v>2</v>
      </c>
      <c r="C11" s="28"/>
      <c r="E11" s="28" t="s">
        <v>84</v>
      </c>
      <c r="F11" s="1" t="s">
        <v>79</v>
      </c>
    </row>
    <row r="12" spans="2:16" x14ac:dyDescent="0.35">
      <c r="B12" s="1" t="s">
        <v>3</v>
      </c>
      <c r="C12" s="28"/>
      <c r="E12" s="28" t="s">
        <v>84</v>
      </c>
      <c r="F12" s="1" t="s">
        <v>83</v>
      </c>
    </row>
    <row r="13" spans="2:16" x14ac:dyDescent="0.35">
      <c r="B13" s="1" t="s">
        <v>75</v>
      </c>
      <c r="C13" s="28"/>
      <c r="E13" s="28" t="s">
        <v>84</v>
      </c>
      <c r="F13" s="1" t="s">
        <v>80</v>
      </c>
    </row>
    <row r="14" spans="2:16" x14ac:dyDescent="0.35">
      <c r="B14" s="1" t="s">
        <v>76</v>
      </c>
      <c r="C14" s="28"/>
      <c r="E14" s="28" t="s">
        <v>84</v>
      </c>
      <c r="F14" s="1" t="s">
        <v>82</v>
      </c>
    </row>
    <row r="15" spans="2:16" x14ac:dyDescent="0.35">
      <c r="B15" s="1" t="s">
        <v>77</v>
      </c>
      <c r="C15" s="28"/>
      <c r="E15" s="28" t="s">
        <v>84</v>
      </c>
      <c r="F15" s="1" t="s">
        <v>81</v>
      </c>
    </row>
    <row r="17" spans="2:16" x14ac:dyDescent="0.35">
      <c r="B17" s="43" t="s">
        <v>4</v>
      </c>
    </row>
    <row r="18" spans="2:16" x14ac:dyDescent="0.35"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</row>
    <row r="19" spans="2:16" x14ac:dyDescent="0.35"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</row>
    <row r="20" spans="2:16" x14ac:dyDescent="0.35"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</row>
    <row r="21" spans="2:16" x14ac:dyDescent="0.35"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spans="2:16" x14ac:dyDescent="0.35"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  <row r="23" spans="2:16" x14ac:dyDescent="0.35"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</row>
    <row r="24" spans="2:16" x14ac:dyDescent="0.35"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</row>
    <row r="26" spans="2:16" x14ac:dyDescent="0.35">
      <c r="B26" s="3" t="s">
        <v>86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8" spans="2:16" x14ac:dyDescent="0.35">
      <c r="B28" s="14" t="s">
        <v>41</v>
      </c>
      <c r="C28" s="14" t="s">
        <v>6</v>
      </c>
      <c r="D28" s="15" t="s">
        <v>42</v>
      </c>
      <c r="E28" s="15" t="s">
        <v>43</v>
      </c>
      <c r="F28" s="15" t="s">
        <v>44</v>
      </c>
      <c r="G28" s="15" t="s">
        <v>45</v>
      </c>
      <c r="H28" s="15" t="s">
        <v>46</v>
      </c>
      <c r="I28" s="15" t="s">
        <v>47</v>
      </c>
      <c r="J28" s="15" t="s">
        <v>48</v>
      </c>
      <c r="K28" s="15" t="s">
        <v>49</v>
      </c>
      <c r="L28" s="15" t="s">
        <v>50</v>
      </c>
      <c r="M28" s="15" t="s">
        <v>51</v>
      </c>
      <c r="N28" s="15" t="s">
        <v>52</v>
      </c>
      <c r="O28" s="35" t="s">
        <v>63</v>
      </c>
      <c r="P28" s="35" t="s">
        <v>64</v>
      </c>
    </row>
    <row r="29" spans="2:16" x14ac:dyDescent="0.35">
      <c r="B29" s="2"/>
      <c r="C29" s="2"/>
    </row>
    <row r="30" spans="2:16" x14ac:dyDescent="0.35">
      <c r="B30" s="6" t="s">
        <v>5</v>
      </c>
      <c r="C30" s="30"/>
      <c r="D30" s="31">
        <f>SUM(D31:D45)</f>
        <v>0</v>
      </c>
      <c r="E30" s="31">
        <f t="shared" ref="E30:N30" si="0">SUM(E31:E45)</f>
        <v>0</v>
      </c>
      <c r="F30" s="31">
        <f t="shared" si="0"/>
        <v>0</v>
      </c>
      <c r="G30" s="31">
        <f t="shared" si="0"/>
        <v>0</v>
      </c>
      <c r="H30" s="31">
        <f t="shared" si="0"/>
        <v>0</v>
      </c>
      <c r="I30" s="31">
        <f t="shared" si="0"/>
        <v>0</v>
      </c>
      <c r="J30" s="31">
        <f t="shared" si="0"/>
        <v>0</v>
      </c>
      <c r="K30" s="31">
        <f t="shared" si="0"/>
        <v>0</v>
      </c>
      <c r="L30" s="31">
        <f t="shared" si="0"/>
        <v>0</v>
      </c>
      <c r="M30" s="31">
        <f t="shared" si="0"/>
        <v>0</v>
      </c>
      <c r="N30" s="31">
        <f t="shared" si="0"/>
        <v>0</v>
      </c>
      <c r="O30" s="18">
        <f>SUM(D30:N30)</f>
        <v>0</v>
      </c>
      <c r="P30" s="36" t="e">
        <f>O30/$O$30</f>
        <v>#DIV/0!</v>
      </c>
    </row>
    <row r="31" spans="2:16" x14ac:dyDescent="0.35">
      <c r="B31" s="29" t="s">
        <v>14</v>
      </c>
      <c r="C31" s="38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7">
        <f t="shared" ref="O31:O45" si="1">SUM(D31:N31)</f>
        <v>0</v>
      </c>
      <c r="P31" s="36" t="e">
        <f>O31/$O$30</f>
        <v>#DIV/0!</v>
      </c>
    </row>
    <row r="32" spans="2:16" x14ac:dyDescent="0.35">
      <c r="B32" s="29" t="s">
        <v>20</v>
      </c>
      <c r="C32" s="38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7">
        <f t="shared" si="1"/>
        <v>0</v>
      </c>
      <c r="P32" s="36" t="e">
        <f t="shared" ref="P32:P45" si="2">O32/$O$30</f>
        <v>#DIV/0!</v>
      </c>
    </row>
    <row r="33" spans="2:16" x14ac:dyDescent="0.35">
      <c r="B33" s="29" t="s">
        <v>7</v>
      </c>
      <c r="C33" s="3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7">
        <f t="shared" si="1"/>
        <v>0</v>
      </c>
      <c r="P33" s="36" t="e">
        <f t="shared" si="2"/>
        <v>#DIV/0!</v>
      </c>
    </row>
    <row r="34" spans="2:16" x14ac:dyDescent="0.35">
      <c r="B34" s="29" t="s">
        <v>8</v>
      </c>
      <c r="C34" s="38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7">
        <f t="shared" si="1"/>
        <v>0</v>
      </c>
      <c r="P34" s="36" t="e">
        <f t="shared" si="2"/>
        <v>#DIV/0!</v>
      </c>
    </row>
    <row r="35" spans="2:16" x14ac:dyDescent="0.35">
      <c r="B35" s="29" t="s">
        <v>16</v>
      </c>
      <c r="C35" s="38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7">
        <f t="shared" si="1"/>
        <v>0</v>
      </c>
      <c r="P35" s="36" t="e">
        <f t="shared" si="2"/>
        <v>#DIV/0!</v>
      </c>
    </row>
    <row r="36" spans="2:16" x14ac:dyDescent="0.35">
      <c r="B36" s="29" t="s">
        <v>15</v>
      </c>
      <c r="C36" s="38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7">
        <f t="shared" si="1"/>
        <v>0</v>
      </c>
      <c r="P36" s="36" t="e">
        <f t="shared" si="2"/>
        <v>#DIV/0!</v>
      </c>
    </row>
    <row r="37" spans="2:16" x14ac:dyDescent="0.35">
      <c r="B37" s="29" t="s">
        <v>17</v>
      </c>
      <c r="C37" s="38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7">
        <f t="shared" si="1"/>
        <v>0</v>
      </c>
      <c r="P37" s="36" t="e">
        <f t="shared" si="2"/>
        <v>#DIV/0!</v>
      </c>
    </row>
    <row r="38" spans="2:16" x14ac:dyDescent="0.35">
      <c r="B38" s="29" t="s">
        <v>18</v>
      </c>
      <c r="C38" s="38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7">
        <f t="shared" si="1"/>
        <v>0</v>
      </c>
      <c r="P38" s="36" t="e">
        <f t="shared" si="2"/>
        <v>#DIV/0!</v>
      </c>
    </row>
    <row r="39" spans="2:16" x14ac:dyDescent="0.35">
      <c r="B39" s="29" t="s">
        <v>12</v>
      </c>
      <c r="C39" s="38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7">
        <f t="shared" si="1"/>
        <v>0</v>
      </c>
      <c r="P39" s="36" t="e">
        <f t="shared" si="2"/>
        <v>#DIV/0!</v>
      </c>
    </row>
    <row r="40" spans="2:16" x14ac:dyDescent="0.35">
      <c r="B40" s="29" t="s">
        <v>13</v>
      </c>
      <c r="C40" s="38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7">
        <f t="shared" si="1"/>
        <v>0</v>
      </c>
      <c r="P40" s="36" t="e">
        <f t="shared" si="2"/>
        <v>#DIV/0!</v>
      </c>
    </row>
    <row r="41" spans="2:16" x14ac:dyDescent="0.35">
      <c r="B41" s="29" t="s">
        <v>23</v>
      </c>
      <c r="C41" s="38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7">
        <f t="shared" si="1"/>
        <v>0</v>
      </c>
      <c r="P41" s="36" t="e">
        <f t="shared" si="2"/>
        <v>#DIV/0!</v>
      </c>
    </row>
    <row r="42" spans="2:16" x14ac:dyDescent="0.35">
      <c r="B42" s="29" t="s">
        <v>9</v>
      </c>
      <c r="C42" s="38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7">
        <f t="shared" si="1"/>
        <v>0</v>
      </c>
      <c r="P42" s="36" t="e">
        <f t="shared" si="2"/>
        <v>#DIV/0!</v>
      </c>
    </row>
    <row r="43" spans="2:16" x14ac:dyDescent="0.35">
      <c r="B43" s="29" t="s">
        <v>11</v>
      </c>
      <c r="C43" s="38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7">
        <f t="shared" si="1"/>
        <v>0</v>
      </c>
      <c r="P43" s="36" t="e">
        <f t="shared" si="2"/>
        <v>#DIV/0!</v>
      </c>
    </row>
    <row r="44" spans="2:16" x14ac:dyDescent="0.35">
      <c r="B44" s="29" t="s">
        <v>19</v>
      </c>
      <c r="C44" s="38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7">
        <f t="shared" si="1"/>
        <v>0</v>
      </c>
      <c r="P44" s="36" t="e">
        <f t="shared" si="2"/>
        <v>#DIV/0!</v>
      </c>
    </row>
    <row r="45" spans="2:16" x14ac:dyDescent="0.35">
      <c r="B45" s="29" t="s">
        <v>10</v>
      </c>
      <c r="C45" s="38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7">
        <f t="shared" si="1"/>
        <v>0</v>
      </c>
      <c r="P45" s="36" t="e">
        <f t="shared" si="2"/>
        <v>#DIV/0!</v>
      </c>
    </row>
    <row r="46" spans="2:16" x14ac:dyDescent="0.35">
      <c r="B46" s="2"/>
      <c r="C46" s="2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2:16" x14ac:dyDescent="0.35">
      <c r="B47" s="6" t="s">
        <v>21</v>
      </c>
      <c r="C47" s="7"/>
      <c r="D47" s="13">
        <f>D49+D61</f>
        <v>50</v>
      </c>
      <c r="E47" s="13">
        <f t="shared" ref="E47:N47" si="3">E49+E61</f>
        <v>0</v>
      </c>
      <c r="F47" s="13">
        <f t="shared" si="3"/>
        <v>0</v>
      </c>
      <c r="G47" s="13">
        <f t="shared" si="3"/>
        <v>0</v>
      </c>
      <c r="H47" s="13">
        <f t="shared" si="3"/>
        <v>0</v>
      </c>
      <c r="I47" s="13">
        <f t="shared" si="3"/>
        <v>90</v>
      </c>
      <c r="J47" s="13">
        <f t="shared" si="3"/>
        <v>0</v>
      </c>
      <c r="K47" s="13">
        <f t="shared" si="3"/>
        <v>0</v>
      </c>
      <c r="L47" s="13">
        <f t="shared" si="3"/>
        <v>40</v>
      </c>
      <c r="M47" s="13">
        <f t="shared" si="3"/>
        <v>0</v>
      </c>
      <c r="N47" s="13">
        <f t="shared" si="3"/>
        <v>0</v>
      </c>
      <c r="O47" s="18">
        <f>SUM(D47:N47)</f>
        <v>180</v>
      </c>
      <c r="P47" s="36">
        <f>O47/$O$47</f>
        <v>1</v>
      </c>
    </row>
    <row r="48" spans="2:16" x14ac:dyDescent="0.35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2:16" x14ac:dyDescent="0.35">
      <c r="B49" s="9" t="s">
        <v>25</v>
      </c>
      <c r="C49" s="33"/>
      <c r="D49" s="34">
        <f>SUM(D50:D59)</f>
        <v>0</v>
      </c>
      <c r="E49" s="34">
        <f t="shared" ref="E49:N49" si="4">SUM(E50:E59)</f>
        <v>0</v>
      </c>
      <c r="F49" s="34">
        <f t="shared" si="4"/>
        <v>0</v>
      </c>
      <c r="G49" s="34">
        <f t="shared" si="4"/>
        <v>0</v>
      </c>
      <c r="H49" s="34">
        <f t="shared" si="4"/>
        <v>0</v>
      </c>
      <c r="I49" s="34">
        <f t="shared" si="4"/>
        <v>0</v>
      </c>
      <c r="J49" s="34">
        <f t="shared" si="4"/>
        <v>0</v>
      </c>
      <c r="K49" s="34">
        <f t="shared" si="4"/>
        <v>0</v>
      </c>
      <c r="L49" s="34">
        <f t="shared" si="4"/>
        <v>0</v>
      </c>
      <c r="M49" s="34">
        <f t="shared" si="4"/>
        <v>0</v>
      </c>
      <c r="N49" s="34">
        <f t="shared" si="4"/>
        <v>0</v>
      </c>
      <c r="O49" s="18">
        <f t="shared" ref="O49:O59" si="5">SUM(D49:N49)</f>
        <v>0</v>
      </c>
      <c r="P49" s="36">
        <f>O49/$O$47</f>
        <v>0</v>
      </c>
    </row>
    <row r="50" spans="2:16" x14ac:dyDescent="0.35">
      <c r="B50" s="45" t="s">
        <v>26</v>
      </c>
      <c r="C50" s="38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40">
        <f t="shared" si="5"/>
        <v>0</v>
      </c>
      <c r="P50" s="41" t="e">
        <f>O50/$O$49</f>
        <v>#DIV/0!</v>
      </c>
    </row>
    <row r="51" spans="2:16" x14ac:dyDescent="0.35">
      <c r="B51" s="46" t="s">
        <v>22</v>
      </c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40">
        <f t="shared" si="5"/>
        <v>0</v>
      </c>
      <c r="P51" s="41" t="e">
        <f t="shared" ref="P51:P59" si="6">O51/$O$49</f>
        <v>#DIV/0!</v>
      </c>
    </row>
    <row r="52" spans="2:16" x14ac:dyDescent="0.35">
      <c r="B52" s="46" t="s">
        <v>28</v>
      </c>
      <c r="C52" s="38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40">
        <f t="shared" si="5"/>
        <v>0</v>
      </c>
      <c r="P52" s="41" t="e">
        <f t="shared" si="6"/>
        <v>#DIV/0!</v>
      </c>
    </row>
    <row r="53" spans="2:16" x14ac:dyDescent="0.35">
      <c r="B53" s="46" t="s">
        <v>27</v>
      </c>
      <c r="C53" s="38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40">
        <f t="shared" si="5"/>
        <v>0</v>
      </c>
      <c r="P53" s="41" t="e">
        <f t="shared" si="6"/>
        <v>#DIV/0!</v>
      </c>
    </row>
    <row r="54" spans="2:16" x14ac:dyDescent="0.35">
      <c r="B54" s="46" t="s">
        <v>29</v>
      </c>
      <c r="C54" s="38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40">
        <f t="shared" si="5"/>
        <v>0</v>
      </c>
      <c r="P54" s="41" t="e">
        <f t="shared" si="6"/>
        <v>#DIV/0!</v>
      </c>
    </row>
    <row r="55" spans="2:16" x14ac:dyDescent="0.35">
      <c r="B55" s="46" t="s">
        <v>24</v>
      </c>
      <c r="C55" s="38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40">
        <f t="shared" si="5"/>
        <v>0</v>
      </c>
      <c r="P55" s="41" t="e">
        <f t="shared" si="6"/>
        <v>#DIV/0!</v>
      </c>
    </row>
    <row r="56" spans="2:16" x14ac:dyDescent="0.35">
      <c r="B56" s="46" t="s">
        <v>30</v>
      </c>
      <c r="C56" s="38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40">
        <f t="shared" si="5"/>
        <v>0</v>
      </c>
      <c r="P56" s="41" t="e">
        <f t="shared" si="6"/>
        <v>#DIV/0!</v>
      </c>
    </row>
    <row r="57" spans="2:16" x14ac:dyDescent="0.35">
      <c r="B57" s="46" t="s">
        <v>32</v>
      </c>
      <c r="C57" s="38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40">
        <f t="shared" si="5"/>
        <v>0</v>
      </c>
      <c r="P57" s="41" t="e">
        <f t="shared" si="6"/>
        <v>#DIV/0!</v>
      </c>
    </row>
    <row r="58" spans="2:16" x14ac:dyDescent="0.35">
      <c r="B58" s="46" t="s">
        <v>31</v>
      </c>
      <c r="C58" s="38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40">
        <f t="shared" si="5"/>
        <v>0</v>
      </c>
      <c r="P58" s="41" t="e">
        <f t="shared" si="6"/>
        <v>#DIV/0!</v>
      </c>
    </row>
    <row r="59" spans="2:16" x14ac:dyDescent="0.35">
      <c r="B59" s="46" t="s">
        <v>33</v>
      </c>
      <c r="C59" s="38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40">
        <f t="shared" si="5"/>
        <v>0</v>
      </c>
      <c r="P59" s="41" t="e">
        <f t="shared" si="6"/>
        <v>#DIV/0!</v>
      </c>
    </row>
    <row r="60" spans="2:16" x14ac:dyDescent="0.35">
      <c r="B60" s="2"/>
      <c r="C60" s="2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2:16" x14ac:dyDescent="0.35">
      <c r="B61" s="9" t="s">
        <v>34</v>
      </c>
      <c r="C61" s="33"/>
      <c r="D61" s="34">
        <f>SUM(D62:D67)</f>
        <v>50</v>
      </c>
      <c r="E61" s="34">
        <f t="shared" ref="E61:N61" si="7">SUM(E62:E67)</f>
        <v>0</v>
      </c>
      <c r="F61" s="34">
        <f t="shared" si="7"/>
        <v>0</v>
      </c>
      <c r="G61" s="34">
        <f t="shared" si="7"/>
        <v>0</v>
      </c>
      <c r="H61" s="34">
        <f t="shared" si="7"/>
        <v>0</v>
      </c>
      <c r="I61" s="34">
        <f t="shared" si="7"/>
        <v>90</v>
      </c>
      <c r="J61" s="34">
        <f t="shared" si="7"/>
        <v>0</v>
      </c>
      <c r="K61" s="34">
        <f t="shared" si="7"/>
        <v>0</v>
      </c>
      <c r="L61" s="34">
        <f t="shared" si="7"/>
        <v>40</v>
      </c>
      <c r="M61" s="34">
        <f t="shared" si="7"/>
        <v>0</v>
      </c>
      <c r="N61" s="34">
        <f t="shared" si="7"/>
        <v>0</v>
      </c>
      <c r="O61" s="18">
        <f>SUM(D61:N61)</f>
        <v>180</v>
      </c>
      <c r="P61" s="36">
        <f>O61/$O$47</f>
        <v>1</v>
      </c>
    </row>
    <row r="62" spans="2:16" x14ac:dyDescent="0.35">
      <c r="B62" s="46" t="s">
        <v>35</v>
      </c>
      <c r="C62" s="38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7">
        <f t="shared" ref="O62:O67" si="8">SUM(D62:N62)</f>
        <v>0</v>
      </c>
      <c r="P62" s="36">
        <f>O62/$O$61</f>
        <v>0</v>
      </c>
    </row>
    <row r="63" spans="2:16" x14ac:dyDescent="0.35">
      <c r="B63" s="46" t="s">
        <v>36</v>
      </c>
      <c r="C63" s="38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7">
        <f t="shared" si="8"/>
        <v>0</v>
      </c>
      <c r="P63" s="36">
        <f t="shared" ref="P63:P67" si="9">O63/$O$61</f>
        <v>0</v>
      </c>
    </row>
    <row r="64" spans="2:16" x14ac:dyDescent="0.35">
      <c r="B64" s="46" t="s">
        <v>38</v>
      </c>
      <c r="C64" s="38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7">
        <f t="shared" si="8"/>
        <v>0</v>
      </c>
      <c r="P64" s="36">
        <f t="shared" si="9"/>
        <v>0</v>
      </c>
    </row>
    <row r="65" spans="2:16" x14ac:dyDescent="0.35">
      <c r="B65" s="29" t="s">
        <v>37</v>
      </c>
      <c r="C65" s="38"/>
      <c r="D65" s="32">
        <v>50</v>
      </c>
      <c r="E65" s="32"/>
      <c r="F65" s="32"/>
      <c r="G65" s="32"/>
      <c r="H65" s="32"/>
      <c r="I65" s="32">
        <v>90</v>
      </c>
      <c r="J65" s="32"/>
      <c r="K65" s="32"/>
      <c r="L65" s="32">
        <v>40</v>
      </c>
      <c r="M65" s="32"/>
      <c r="N65" s="32"/>
      <c r="O65" s="37">
        <f t="shared" si="8"/>
        <v>180</v>
      </c>
      <c r="P65" s="36">
        <f t="shared" si="9"/>
        <v>1</v>
      </c>
    </row>
    <row r="66" spans="2:16" x14ac:dyDescent="0.35">
      <c r="B66" s="29" t="s">
        <v>39</v>
      </c>
      <c r="C66" s="38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7">
        <f t="shared" si="8"/>
        <v>0</v>
      </c>
      <c r="P66" s="36">
        <f t="shared" si="9"/>
        <v>0</v>
      </c>
    </row>
    <row r="67" spans="2:16" x14ac:dyDescent="0.35">
      <c r="B67" s="29" t="s">
        <v>40</v>
      </c>
      <c r="C67" s="38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7">
        <f t="shared" si="8"/>
        <v>0</v>
      </c>
      <c r="P67" s="36">
        <f t="shared" si="9"/>
        <v>0</v>
      </c>
    </row>
    <row r="68" spans="2:16" x14ac:dyDescent="0.35">
      <c r="B68" s="2"/>
      <c r="C68" s="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2:16" x14ac:dyDescent="0.35">
      <c r="B69" s="10" t="s">
        <v>54</v>
      </c>
      <c r="C69" s="11"/>
      <c r="D69" s="17">
        <f>D47-D30</f>
        <v>50</v>
      </c>
      <c r="E69" s="17">
        <f t="shared" ref="E69:N69" si="10">E47-E30</f>
        <v>0</v>
      </c>
      <c r="F69" s="17">
        <f t="shared" si="10"/>
        <v>0</v>
      </c>
      <c r="G69" s="17">
        <f t="shared" si="10"/>
        <v>0</v>
      </c>
      <c r="H69" s="17">
        <f t="shared" si="10"/>
        <v>0</v>
      </c>
      <c r="I69" s="17">
        <f t="shared" si="10"/>
        <v>90</v>
      </c>
      <c r="J69" s="17">
        <f t="shared" si="10"/>
        <v>0</v>
      </c>
      <c r="K69" s="17">
        <f t="shared" si="10"/>
        <v>0</v>
      </c>
      <c r="L69" s="17">
        <f t="shared" si="10"/>
        <v>40</v>
      </c>
      <c r="M69" s="17">
        <f t="shared" si="10"/>
        <v>0</v>
      </c>
      <c r="N69" s="17">
        <f t="shared" si="10"/>
        <v>0</v>
      </c>
      <c r="O69" s="18">
        <f>SUM(D69:N69)</f>
        <v>180</v>
      </c>
      <c r="P69" s="36"/>
    </row>
    <row r="70" spans="2:16" x14ac:dyDescent="0.35">
      <c r="B70" s="12" t="s">
        <v>53</v>
      </c>
      <c r="C70" s="8"/>
      <c r="D70" s="18">
        <f>D69</f>
        <v>50</v>
      </c>
      <c r="E70" s="18">
        <f>D70+E69</f>
        <v>50</v>
      </c>
      <c r="F70" s="18">
        <f t="shared" ref="F70:N70" si="11">E70+F69</f>
        <v>50</v>
      </c>
      <c r="G70" s="18">
        <f t="shared" si="11"/>
        <v>50</v>
      </c>
      <c r="H70" s="18">
        <f t="shared" si="11"/>
        <v>50</v>
      </c>
      <c r="I70" s="18">
        <f t="shared" si="11"/>
        <v>140</v>
      </c>
      <c r="J70" s="18">
        <f t="shared" si="11"/>
        <v>140</v>
      </c>
      <c r="K70" s="18">
        <f t="shared" si="11"/>
        <v>140</v>
      </c>
      <c r="L70" s="18">
        <f t="shared" si="11"/>
        <v>180</v>
      </c>
      <c r="M70" s="18">
        <f t="shared" si="11"/>
        <v>180</v>
      </c>
      <c r="N70" s="18">
        <f t="shared" si="11"/>
        <v>180</v>
      </c>
      <c r="O70" s="18"/>
      <c r="P70" s="36"/>
    </row>
    <row r="73" spans="2:16" x14ac:dyDescent="0.35">
      <c r="B73" s="3" t="s">
        <v>87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5" spans="2:16" x14ac:dyDescent="0.35">
      <c r="B75" s="19" t="s">
        <v>55</v>
      </c>
      <c r="C75" s="19"/>
      <c r="E75" s="19" t="s">
        <v>65</v>
      </c>
      <c r="F75" s="19"/>
      <c r="G75" s="19"/>
      <c r="H75" s="19"/>
      <c r="J75" s="19" t="s">
        <v>66</v>
      </c>
      <c r="K75" s="19"/>
      <c r="L75" s="19"/>
      <c r="M75" s="19"/>
      <c r="N75" s="19"/>
    </row>
    <row r="77" spans="2:16" x14ac:dyDescent="0.35">
      <c r="B77" s="1" t="s">
        <v>56</v>
      </c>
      <c r="C77" s="22">
        <v>0.06</v>
      </c>
      <c r="E77" s="1" t="s">
        <v>57</v>
      </c>
      <c r="G77" s="25">
        <f>D69+NPV(C77,E69:N69)</f>
        <v>142.3497304116182</v>
      </c>
      <c r="H77" s="1" t="s">
        <v>60</v>
      </c>
      <c r="J77" s="1" t="s">
        <v>67</v>
      </c>
      <c r="M77" s="44" t="e">
        <f ca="1">IF(N77,"Yes","No")</f>
        <v>#NUM!</v>
      </c>
      <c r="N77" s="20" t="e">
        <f ca="1">AND(G80&lt;=C78,G78&gt;=C79)</f>
        <v>#NUM!</v>
      </c>
    </row>
    <row r="78" spans="2:16" x14ac:dyDescent="0.35">
      <c r="B78" s="1" t="s">
        <v>69</v>
      </c>
      <c r="C78" s="23">
        <v>4</v>
      </c>
      <c r="E78" s="1" t="s">
        <v>58</v>
      </c>
      <c r="G78" s="26" t="e">
        <f>IRR(D69:N69)</f>
        <v>#NUM!</v>
      </c>
      <c r="J78" s="1" t="s">
        <v>70</v>
      </c>
      <c r="M78" s="25" t="e">
        <f ca="1">IF(N77,SUM(D31:D36,D41:D44),"")</f>
        <v>#NUM!</v>
      </c>
      <c r="N78" s="1" t="e">
        <f ca="1">IF(N77,"KSAR","")</f>
        <v>#NUM!</v>
      </c>
    </row>
    <row r="79" spans="2:16" x14ac:dyDescent="0.35">
      <c r="B79" s="1" t="s">
        <v>68</v>
      </c>
      <c r="C79" s="24">
        <v>0.12</v>
      </c>
      <c r="E79" s="1" t="s">
        <v>62</v>
      </c>
      <c r="H79" s="8">
        <f>COUNTIF(D70:N70,"&lt;0")</f>
        <v>0</v>
      </c>
      <c r="J79" s="1" t="s">
        <v>71</v>
      </c>
      <c r="M79" s="25" t="e">
        <f ca="1">IF(N77,MIN(300, M78*0.8),"")</f>
        <v>#NUM!</v>
      </c>
      <c r="N79" s="1" t="e">
        <f ca="1">IF(N77,"KSAR","")</f>
        <v>#NUM!</v>
      </c>
    </row>
    <row r="80" spans="2:16" x14ac:dyDescent="0.35">
      <c r="E80" s="1" t="s">
        <v>59</v>
      </c>
      <c r="G80" s="27">
        <f ca="1">IF(H79=0,0,H79-OFFSET(D70,0,H79-1)/OFFSET(D69,0,H79))</f>
        <v>0</v>
      </c>
      <c r="H80" s="1" t="s">
        <v>61</v>
      </c>
    </row>
    <row r="83" spans="2:16" x14ac:dyDescent="0.35">
      <c r="B83" s="19" t="s">
        <v>72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</row>
    <row r="84" spans="2:16" x14ac:dyDescent="0.35">
      <c r="H84" s="16"/>
    </row>
  </sheetData>
  <mergeCells count="2">
    <mergeCell ref="B3:P3"/>
    <mergeCell ref="B18:P24"/>
  </mergeCells>
  <phoneticPr fontId="1" type="noConversion"/>
  <dataValidations disablePrompts="1" count="1">
    <dataValidation type="list" allowBlank="1" showInputMessage="1" showErrorMessage="1" sqref="E11:E15" xr:uid="{3F610A4D-6AA3-4A59-BD5D-A5469CAE7E13}">
      <formula1>"Yes, No"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99C56F0604304496401D2D2102333C" ma:contentTypeVersion="21" ma:contentTypeDescription="Create a new document." ma:contentTypeScope="" ma:versionID="1869d1906264b7628a0aeba7b4a5b7b9">
  <xsd:schema xmlns:xsd="http://www.w3.org/2001/XMLSchema" xmlns:xs="http://www.w3.org/2001/XMLSchema" xmlns:p="http://schemas.microsoft.com/office/2006/metadata/properties" xmlns:ns2="45c903be-dc87-4f23-931c-09481c7fd386" xmlns:ns3="7dda13b7-6245-48ec-a059-2a40f7682743" targetNamespace="http://schemas.microsoft.com/office/2006/metadata/properties" ma:root="true" ma:fieldsID="14af4a3a175a8744cf8cebd276c74bb7" ns2:_="" ns3:_="">
    <xsd:import namespace="45c903be-dc87-4f23-931c-09481c7fd386"/>
    <xsd:import namespace="7dda13b7-6245-48ec-a059-2a40f76827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903be-dc87-4f23-931c-09481c7fd3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c4fa48d-b01c-4cbd-9a2a-be3ba3df041a}" ma:internalName="TaxCatchAll" ma:showField="CatchAllData" ma:web="45c903be-dc87-4f23-931c-09481c7fd3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da13b7-6245-48ec-a059-2a40f7682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30db051-0fab-4bab-ace2-979608984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BDDF55-16AF-4188-B4C9-0638D86DAA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5D2E93-71BA-4AD5-9F2D-064412E9F4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c903be-dc87-4f23-931c-09481c7fd386"/>
    <ds:schemaRef ds:uri="7dda13b7-6245-48ec-a059-2a40f7682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algwiz</dc:creator>
  <cp:lastModifiedBy>Abdullah Mohammed ALSafrani</cp:lastModifiedBy>
  <dcterms:created xsi:type="dcterms:W3CDTF">2023-06-19T08:07:27Z</dcterms:created>
  <dcterms:modified xsi:type="dcterms:W3CDTF">2025-04-28T08:06:16Z</dcterms:modified>
</cp:coreProperties>
</file>