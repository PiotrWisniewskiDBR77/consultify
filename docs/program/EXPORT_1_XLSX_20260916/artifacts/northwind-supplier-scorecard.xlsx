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pplier scorecard" state="visible" r:id="rId4"/>
    <sheet sheetId="2" name="Summary" state="visible" r:id="rId5"/>
  </sheets>
  <definedNames>
    <definedName name="_xlnm.Print_Titles" localSheetId="0">'Supplier scorecard'!$6:$6</definedName>
  </definedNames>
  <calcPr calcId="171027" fullCalcOnLoad="1"/>
</workbook>
</file>

<file path=xl/sharedStrings.xml><?xml version="1.0" encoding="utf-8"?>
<sst xmlns="http://schemas.openxmlformats.org/spreadsheetml/2006/main" count="48" uniqueCount="40">
  <si>
    <t>Supplier Quality Scorecard</t>
  </si>
  <si>
    <t>Goods-in nonconformances · Q2 to Q3</t>
  </si>
  <si>
    <t>Northwind Manufacturing Ltd.  ·  Consultify → Materials → Sheets  ·  Generated 2026-09-16  ·  Confidential</t>
  </si>
  <si>
    <t>Supplier</t>
  </si>
  <si>
    <t>Site</t>
  </si>
  <si>
    <t>Receipts Q2</t>
  </si>
  <si>
    <t>NC Q2</t>
  </si>
  <si>
    <t>NC rate Q2</t>
  </si>
  <si>
    <t>Receipts Q3</t>
  </si>
  <si>
    <t>NC Q3</t>
  </si>
  <si>
    <t>NC rate Q3</t>
  </si>
  <si>
    <t>Δ pp</t>
  </si>
  <si>
    <t>Trend</t>
  </si>
  <si>
    <t>Status</t>
  </si>
  <si>
    <t>Brayford Tooling Ltd.</t>
  </si>
  <si>
    <t>Rotherham</t>
  </si>
  <si>
    <t>Enhanced surveillance</t>
  </si>
  <si>
    <t>Halstead Components</t>
  </si>
  <si>
    <t>Leeds</t>
  </si>
  <si>
    <t>Approved</t>
  </si>
  <si>
    <t>St Albans Fasteners</t>
  </si>
  <si>
    <t>Wakefield</t>
  </si>
  <si>
    <t>Corrective action open</t>
  </si>
  <si>
    <t>Pennine Castings</t>
  </si>
  <si>
    <t>Calder Polymers</t>
  </si>
  <si>
    <t>Total</t>
  </si>
  <si>
    <t>All sites</t>
  </si>
  <si>
    <t>Tolerance: NC rate above 3.0% triggers enhanced surveillance. Δ pp above +0.3 marks a worsening supplier. NC rate and Δ are formulas, not pasted values.</t>
  </si>
  <si>
    <t>Supplier Quality Scorecard — Summary</t>
  </si>
  <si>
    <t>Metric</t>
  </si>
  <si>
    <t>Value</t>
  </si>
  <si>
    <t>Source</t>
  </si>
  <si>
    <t>Suppliers</t>
  </si>
  <si>
    <t>Data!A</t>
  </si>
  <si>
    <t>Data!C</t>
  </si>
  <si>
    <t>Data!C:D</t>
  </si>
  <si>
    <t>Data!F</t>
  </si>
  <si>
    <t>Data!F:G</t>
  </si>
  <si>
    <t>Worsening suppliers</t>
  </si>
  <si>
    <t>Data!J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</si>
</sst>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+0.0;-0.0;0.0"/>
    <numFmt numFmtId="166" formatCode="#,##0.##"/>
  </numFmts>
  <fonts count="8" x14ac:knownFonts="1">
    <font>
      <color theme="1"/>
      <family val="2"/>
      <scheme val="minor"/>
      <sz val="11"/>
      <name val="Calibri"/>
    </font>
    <font>
      <b/>
      <color rgb="FF1B2A41"/>
      <sz val="16"/>
      <name val="Arial"/>
    </font>
    <font>
      <color rgb="FF46556B"/>
      <sz val="10.5"/>
      <name val="Arial"/>
    </font>
    <font>
      <color rgb="FF667085"/>
      <sz val="9"/>
      <name val="Arial"/>
    </font>
    <font>
      <b/>
      <color rgb="FFFFFFFF"/>
      <sz val="10"/>
      <name val="Arial"/>
    </font>
    <font>
      <b/>
      <color rgb="FF1B2A41"/>
      <sz val="10"/>
      <name val="Arial"/>
    </font>
    <font>
      <color rgb="FF101828"/>
      <sz val="10"/>
      <name val="Arial"/>
    </font>
    <font>
      <i/>
      <color rgb="FF667085"/>
      <sz val="9"/>
      <name val="Arial"/>
    </font>
  </fonts>
  <fills count="6">
    <fill>
      <patternFill patternType="none"/>
    </fill>
    <fill>
      <patternFill patternType="gray125"/>
    </fill>
    <fill>
      <patternFill patternType="solid">
        <fgColor rgb="FF1B2A41"/>
      </patternFill>
    </fill>
    <fill>
      <patternFill patternType="solid">
        <fgColor rgb="FFFFFFFF"/>
      </patternFill>
    </fill>
    <fill>
      <patternFill patternType="solid">
        <fgColor rgb="FFF1F4F8"/>
      </patternFill>
    </fill>
    <fill>
      <patternFill patternType="solid">
        <fgColor rgb="FFDBE7FF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2563EB"/>
      </bottom>
      <diagonal/>
    </border>
    <border>
      <left style="thin">
        <color rgb="FF1B2A41"/>
      </left>
      <right style="thin">
        <color rgb="FF1B2A41"/>
      </right>
      <top style="thin">
        <color rgb="FF1B2A41"/>
      </top>
      <bottom style="thin">
        <color rgb="FF1B2A41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D8DEE8"/>
      </left>
      <right style="thin">
        <color rgb="FFD8DEE8"/>
      </right>
      <top style="medium">
        <color rgb="FF1B2A41"/>
      </top>
      <bottom style="thin">
        <color rgb="FFD8DEE8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4" fillId="2" borderId="2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3" fontId="6" fillId="3" borderId="3" xfId="0" applyNumberFormat="1" applyFont="1" applyFill="1" applyBorder="1" applyAlignment="1">
      <alignment horizontal="center" vertical="center"/>
    </xf>
    <xf numFmtId="164" fontId="6" fillId="3" borderId="3" xfId="0" applyNumberFormat="1" applyFont="1" applyFill="1" applyBorder="1" applyAlignment="1">
      <alignment horizontal="center" vertical="center"/>
    </xf>
    <xf numFmtId="165" fontId="6" fillId="3" borderId="3" xfId="0" applyNumberFormat="1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left" vertical="center"/>
    </xf>
    <xf numFmtId="0" fontId="6" fillId="4" borderId="3" xfId="0" applyFont="1" applyFill="1" applyBorder="1" applyAlignment="1">
      <alignment horizontal="left" vertical="center"/>
    </xf>
    <xf numFmtId="3" fontId="6" fillId="4" borderId="3" xfId="0" applyNumberFormat="1" applyFont="1" applyFill="1" applyBorder="1" applyAlignment="1">
      <alignment horizontal="center" vertical="center"/>
    </xf>
    <xf numFmtId="164" fontId="6" fillId="4" borderId="3" xfId="0" applyNumberFormat="1" applyFont="1" applyFill="1" applyBorder="1" applyAlignment="1">
      <alignment horizontal="center" vertical="center"/>
    </xf>
    <xf numFmtId="165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left" vertical="center"/>
    </xf>
    <xf numFmtId="3" fontId="5" fillId="5" borderId="4" xfId="0" applyNumberFormat="1" applyFont="1" applyFill="1" applyBorder="1" applyAlignment="1">
      <alignment horizontal="center" vertical="center"/>
    </xf>
    <xf numFmtId="164" fontId="5" fillId="5" borderId="4" xfId="0" applyNumberFormat="1" applyFont="1" applyFill="1" applyBorder="1" applyAlignment="1">
      <alignment horizontal="center" vertical="center"/>
    </xf>
    <xf numFmtId="165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0" borderId="0" xfId="0" applyFont="1"/>
    <xf numFmtId="0" fontId="4" fillId="2" borderId="2" xfId="0" applyFont="1" applyFill="1" applyBorder="1"/>
    <xf numFmtId="0" fontId="6" fillId="3" borderId="3" xfId="0" applyFont="1" applyFill="1" applyBorder="1"/>
    <xf numFmtId="166" fontId="6" fillId="3" borderId="3" xfId="0" applyNumberFormat="1" applyFont="1" applyFill="1" applyBorder="1"/>
    <xf numFmtId="0" fontId="6" fillId="4" borderId="3" xfId="0" applyFont="1" applyFill="1" applyBorder="1"/>
    <xf numFmtId="166" fontId="6" fillId="4" borderId="3" xfId="0" applyNumberFormat="1" applyFont="1" applyFill="1" applyBorder="1"/>
    <xf numFmtId="164" fontId="6" fillId="3" borderId="3" xfId="0" applyNumberFormat="1" applyFont="1" applyFill="1" applyBorder="1"/>
  </cellXfs>
  <cellStyles count="1">
    <cellStyle name="Normal" xfId="0" builtinId="0"/>
  </cellStyles>
  <dxfs count="6">
    <dxf>
      <font>
        <b/>
        <color rgb="FFB42318"/>
      </font>
    </dxf>
    <dxf>
      <font>
        <color rgb="FF15803D"/>
      </font>
    </dxf>
    <dxf>
      <font>
        <b/>
        <color rgb="FFB42318"/>
      </font>
      <fill>
        <patternFill patternType="solid">
          <bgColor rgb="FFFCE8E6"/>
        </patternFill>
      </fill>
    </dxf>
    <dxf>
      <font>
        <b/>
        <color rgb="FF15803D"/>
      </font>
      <fill>
        <patternFill patternType="solid">
          <bgColor rgb="FFE3F5E9"/>
        </patternFill>
      </fill>
    </dxf>
    <dxf>
      <font>
        <b/>
        <color rgb="FFB42318"/>
      </font>
    </dxf>
    <dxf>
      <font>
        <b/>
        <color rgb="FF15803D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14"/>
  <sheetViews>
    <sheetView workbookViewId="0" showGridLines="0">
      <pane xSplit="2" ySplit="6" topLeftCell="C7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12" customWidth="1"/>
    <col min="4" max="4" width="10" customWidth="1"/>
    <col min="5" max="5" width="13" customWidth="1"/>
    <col min="6" max="6" width="12" customWidth="1"/>
    <col min="7" max="7" width="10" customWidth="1"/>
    <col min="8" max="8" width="13" customWidth="1"/>
    <col min="9" max="9" width="12" customWidth="1"/>
    <col min="10" max="10" width="14" customWidth="1"/>
    <col min="11" max="11" width="32" customWidth="1"/>
  </cols>
  <sheetData>
    <row r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5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6" ht="30" customHeight="1" spans="1:11" x14ac:dyDescent="0.25">
      <c r="A6" s="5" t="s">
        <v>3</v>
      </c>
      <c r="B6" s="5" t="s">
        <v>4</v>
      </c>
      <c r="C6" s="6" t="s">
        <v>5</v>
      </c>
      <c r="D6" s="6" t="s">
        <v>6</v>
      </c>
      <c r="E6" s="6" t="s">
        <v>7</v>
      </c>
      <c r="F6" s="6" t="s">
        <v>8</v>
      </c>
      <c r="G6" s="6" t="s">
        <v>9</v>
      </c>
      <c r="H6" s="6" t="s">
        <v>10</v>
      </c>
      <c r="I6" s="6" t="s">
        <v>11</v>
      </c>
      <c r="J6" s="6" t="s">
        <v>12</v>
      </c>
      <c r="K6" s="5" t="s">
        <v>13</v>
      </c>
    </row>
    <row r="7" ht="21" customHeight="1" spans="1:11" x14ac:dyDescent="0.25">
      <c r="A7" s="7" t="s">
        <v>14</v>
      </c>
      <c r="B7" s="8" t="s">
        <v>15</v>
      </c>
      <c r="C7" s="9">
        <v>142</v>
      </c>
      <c r="D7" s="9">
        <v>9</v>
      </c>
      <c r="E7" s="10">
        <f>IF(C7=0,"",D7/C7)</f>
      </c>
      <c r="F7" s="9">
        <v>138</v>
      </c>
      <c r="G7" s="9">
        <v>11</v>
      </c>
      <c r="H7" s="10">
        <f>IF(F7=0,"",G7/F7)</f>
      </c>
      <c r="I7" s="11">
        <f>IF(OR(C7=0,F7=0),"",ROUND((H7-E7)*100,1))</f>
      </c>
      <c r="J7" s="12">
        <f>IF(I7="","",IF(I7&gt;0.3,"Worsening",IF(I7&lt;-0.3,"Improving","Stable")))</f>
      </c>
      <c r="K7" s="8" t="s">
        <v>16</v>
      </c>
    </row>
    <row r="8" ht="21" customHeight="1" spans="1:11" x14ac:dyDescent="0.25">
      <c r="A8" s="13" t="s">
        <v>17</v>
      </c>
      <c r="B8" s="14" t="s">
        <v>18</v>
      </c>
      <c r="C8" s="15">
        <v>318</v>
      </c>
      <c r="D8" s="15">
        <v>7</v>
      </c>
      <c r="E8" s="16">
        <f>IF(C8=0,"",D8/C8)</f>
      </c>
      <c r="F8" s="15">
        <v>341</v>
      </c>
      <c r="G8" s="15">
        <v>5</v>
      </c>
      <c r="H8" s="16">
        <f>IF(F8=0,"",G8/F8)</f>
      </c>
      <c r="I8" s="17">
        <f>IF(OR(C8=0,F8=0),"",ROUND((H8-E8)*100,1))</f>
      </c>
      <c r="J8" s="18">
        <f>IF(I8="","",IF(I8&gt;0.3,"Worsening",IF(I8&lt;-0.3,"Improving","Stable")))</f>
      </c>
      <c r="K8" s="14" t="s">
        <v>19</v>
      </c>
    </row>
    <row r="9" ht="21" customHeight="1" spans="1:11" x14ac:dyDescent="0.25">
      <c r="A9" s="7" t="s">
        <v>20</v>
      </c>
      <c r="B9" s="8" t="s">
        <v>21</v>
      </c>
      <c r="C9" s="9">
        <v>276</v>
      </c>
      <c r="D9" s="9">
        <v>14</v>
      </c>
      <c r="E9" s="10">
        <f>IF(C9=0,"",D9/C9)</f>
      </c>
      <c r="F9" s="9">
        <v>289</v>
      </c>
      <c r="G9" s="9">
        <v>16</v>
      </c>
      <c r="H9" s="10">
        <f>IF(F9=0,"",G9/F9)</f>
      </c>
      <c r="I9" s="11">
        <f>IF(OR(C9=0,F9=0),"",ROUND((H9-E9)*100,1))</f>
      </c>
      <c r="J9" s="12">
        <f>IF(I9="","",IF(I9&gt;0.3,"Worsening",IF(I9&lt;-0.3,"Improving","Stable")))</f>
      </c>
      <c r="K9" s="8" t="s">
        <v>22</v>
      </c>
    </row>
    <row r="10" ht="21" customHeight="1" spans="1:11" x14ac:dyDescent="0.25">
      <c r="A10" s="13" t="s">
        <v>23</v>
      </c>
      <c r="B10" s="14" t="s">
        <v>15</v>
      </c>
      <c r="C10" s="15">
        <v>97</v>
      </c>
      <c r="D10" s="15">
        <v>2</v>
      </c>
      <c r="E10" s="16">
        <f>IF(C10=0,"",D10/C10)</f>
      </c>
      <c r="F10" s="15">
        <v>104</v>
      </c>
      <c r="G10" s="15">
        <v>2</v>
      </c>
      <c r="H10" s="16">
        <f>IF(F10=0,"",G10/F10)</f>
      </c>
      <c r="I10" s="17">
        <f>IF(OR(C10=0,F10=0),"",ROUND((H10-E10)*100,1))</f>
      </c>
      <c r="J10" s="18">
        <f>IF(I10="","",IF(I10&gt;0.3,"Worsening",IF(I10&lt;-0.3,"Improving","Stable")))</f>
      </c>
      <c r="K10" s="14" t="s">
        <v>19</v>
      </c>
    </row>
    <row r="11" ht="21" customHeight="1" spans="1:11" x14ac:dyDescent="0.25">
      <c r="A11" s="7" t="s">
        <v>24</v>
      </c>
      <c r="B11" s="8" t="s">
        <v>18</v>
      </c>
      <c r="C11" s="9">
        <v>183</v>
      </c>
      <c r="D11" s="9">
        <v>4</v>
      </c>
      <c r="E11" s="10">
        <f>IF(C11=0,"",D11/C11)</f>
      </c>
      <c r="F11" s="9">
        <v>176</v>
      </c>
      <c r="G11" s="9">
        <v>3</v>
      </c>
      <c r="H11" s="10">
        <f>IF(F11=0,"",G11/F11)</f>
      </c>
      <c r="I11" s="11">
        <f>IF(OR(C11=0,F11=0),"",ROUND((H11-E11)*100,1))</f>
      </c>
      <c r="J11" s="12">
        <f>IF(I11="","",IF(I11&gt;0.3,"Worsening",IF(I11&lt;-0.3,"Improving","Stable")))</f>
      </c>
      <c r="K11" s="8" t="s">
        <v>19</v>
      </c>
    </row>
    <row r="12" ht="23" customHeight="1" spans="1:11" x14ac:dyDescent="0.25">
      <c r="A12" s="19" t="s">
        <v>25</v>
      </c>
      <c r="B12" s="19" t="s">
        <v>26</v>
      </c>
      <c r="C12" s="20">
        <f>SUM(C7:C11)</f>
      </c>
      <c r="D12" s="20">
        <f>SUM(D7:D11)</f>
      </c>
      <c r="E12" s="21">
        <f>D12/C12</f>
      </c>
      <c r="F12" s="20">
        <f>SUM(F7:F11)</f>
      </c>
      <c r="G12" s="20">
        <f>SUM(G7:G11)</f>
      </c>
      <c r="H12" s="21">
        <f>G12/F12</f>
      </c>
      <c r="I12" s="22">
        <f>ROUND((H12-E12)*100,1)</f>
      </c>
      <c r="J12" s="23">
        <f>IF(I12&gt;0.3,"Worsening",IF(I12&lt;-0.3,"Improving","Stable"))</f>
      </c>
      <c r="K12" s="19">
        <f>COUNTA(A7:A11)&amp;" suppliers"</f>
      </c>
    </row>
    <row r="14" spans="1:11" x14ac:dyDescent="0.25">
      <c r="A14" s="24" t="s">
        <v>27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</row>
  </sheetData>
  <autoFilter ref="A6:K12"/>
  <mergeCells count="4">
    <mergeCell ref="A1:K1"/>
    <mergeCell ref="A2:K2"/>
    <mergeCell ref="A3:K3"/>
    <mergeCell ref="A14:K14"/>
  </mergeCells>
  <conditionalFormatting sqref="H7:H11">
    <cfRule type="cellIs" dxfId="0" priority="1" operator="greaterThan">
      <formula>0.03</formula>
    </cfRule>
    <cfRule type="expression" dxfId="1" priority="2">
      <formula>H7&lt;=0.02</formula>
    </cfRule>
  </conditionalFormatting>
  <conditionalFormatting sqref="J7:J12">
    <cfRule type="containsText" dxfId="2" priority="1">
      <formula>NOT(ISERROR(SEARCH("Worsening",J7)))</formula>
    </cfRule>
    <cfRule type="containsText" dxfId="3" priority="2">
      <formula>NOT(ISERROR(SEARCH("Improving",J7)))</formula>
    </cfRule>
  </conditionalFormatting>
  <conditionalFormatting sqref="I7:I11">
    <cfRule type="cellIs" dxfId="4" priority="1" operator="greaterThan">
      <formula>0.3</formula>
    </cfRule>
    <cfRule type="cellIs" dxfId="5" priority="2" operator="lessThan">
      <formula>-0.3</formula>
    </cfRule>
  </conditionalFormatting>
  <pageSetup paperSize="9" orientation="landscape" fitToWidth="1" fitToHeight="0"/>
  <headerFooter>
    <oddHeader>&amp;L&amp;9Consultify&amp;R&amp;9Northwind Manufacturing Ltd.</oddHeader>
    <oddFooter>&amp;L&amp;9Consultify → Materials → Sheets · Confidential&amp;R&amp;9Page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9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3" width="20" customWidth="1"/>
  </cols>
  <sheetData>
    <row r="1" spans="1:3" x14ac:dyDescent="0.25">
      <c r="A1" s="1" t="s">
        <v>28</v>
      </c>
      <c r="B1" s="1"/>
      <c r="C1" s="1"/>
    </row>
    <row r="3" spans="1:3" x14ac:dyDescent="0.25">
      <c r="A3" s="25" t="s">
        <v>29</v>
      </c>
      <c r="B3" s="25" t="s">
        <v>30</v>
      </c>
      <c r="C3" s="25" t="s">
        <v>31</v>
      </c>
    </row>
    <row r="4" spans="1:3" x14ac:dyDescent="0.25">
      <c r="A4" s="26" t="s">
        <v>32</v>
      </c>
      <c r="B4" s="27">
        <f>COUNTA('Supplier scorecard'!A7:A11)</f>
      </c>
      <c r="C4" s="26" t="s">
        <v>33</v>
      </c>
    </row>
    <row r="5" spans="1:3" x14ac:dyDescent="0.25">
      <c r="A5" s="28" t="s">
        <v>5</v>
      </c>
      <c r="B5" s="29">
        <f>SUM('Supplier scorecard'!C7:C11)</f>
      </c>
      <c r="C5" s="28" t="s">
        <v>34</v>
      </c>
    </row>
    <row r="6" spans="1:3" x14ac:dyDescent="0.25">
      <c r="A6" s="26" t="s">
        <v>7</v>
      </c>
      <c r="B6" s="30">
        <f>SUM('Supplier scorecard'!D7:D11)/SUM('Supplier scorecard'!C7:C11)</f>
      </c>
      <c r="C6" s="26" t="s">
        <v>35</v>
      </c>
    </row>
    <row r="7" spans="1:3" x14ac:dyDescent="0.25">
      <c r="A7" s="28" t="s">
        <v>8</v>
      </c>
      <c r="B7" s="29">
        <f>SUM('Supplier scorecard'!F7:F11)</f>
      </c>
      <c r="C7" s="28" t="s">
        <v>36</v>
      </c>
    </row>
    <row r="8" spans="1:3" x14ac:dyDescent="0.25">
      <c r="A8" s="26" t="s">
        <v>10</v>
      </c>
      <c r="B8" s="30">
        <f>SUM('Supplier scorecard'!G7:G11)/SUM('Supplier scorecard'!F7:F11)</f>
      </c>
      <c r="C8" s="26" t="s">
        <v>37</v>
      </c>
    </row>
    <row r="9" spans="1:3" x14ac:dyDescent="0.25">
      <c r="A9" s="28" t="s">
        <v>38</v>
      </c>
      <c r="B9" s="29">
        <f>COUNTIF('Supplier scorecard'!J7:J11,"Worsening")</f>
      </c>
      <c r="C9" s="28" t="s">
        <v>39</v>
      </c>
    </row>
  </sheetData>
  <mergeCells count="1">
    <mergeCell ref="A1:C1"/>
  </mergeCells>
  <pageSetup paperSize="9" orientation="landscape" fitToWidth="1" fitToHeight="0"/>
  <headerFooter>
    <oddHeader>&amp;L&amp;9Consultify&amp;R&amp;9Northwind Manufacturing Ltd.</oddHeader>
    <oddFooter>&amp;L&amp;9Consultify → Materials → Sheets · Confidential&amp;R&amp;9Page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Supplier scorecard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Consultify</dc:creator>
  <dc:title/>
  <dc:subject/>
  <dc:description/>
  <cp:keywords/>
  <cp:category/>
  <cp:lastModifiedBy>Unknown</cp:lastModifiedBy>
  <dcterms:created xsi:type="dcterms:W3CDTF">2026-09-17T03:23:34Z</dcterms:created>
  <dcterms:modified xsi:type="dcterms:W3CDTF">2026-09-17T03:23:34Z</dcterms:modified>
</cp:coreProperties>
</file>