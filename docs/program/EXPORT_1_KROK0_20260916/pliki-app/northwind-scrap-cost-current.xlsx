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Assumptions" state="visible" r:id="rId5"/>
    <sheet sheetId="3" name="Scrap Cost by Line" state="visible" r:id="rId6"/>
  </sheets>
  <definedNames>
    <definedName name="Assumption">Assumptions!$B$2</definedName>
    <definedName name="Reporting_currency">Assumptions!$B$3</definedName>
    <definedName name="Baseline_period">Assumptions!$B$4</definedName>
    <definedName name="Scrap_unit_cost_source">Assumptions!$B$5</definedName>
    <definedName name="_xlnm.Print_Area" localSheetId="0">'Info'!$A1:$B12</definedName>
    <definedName name="_xlnm.Print_Area" localSheetId="1">'Assumptions'!$A1:$B5</definedName>
    <definedName name="_xlnm.Print_Titles" localSheetId="1">'Assumptions'!$1:$1</definedName>
    <definedName name="_xlnm.Print_Area" localSheetId="2">'Scrap Cost by Line'!$A1:$H5</definedName>
    <definedName name="_xlnm.Print_Titles" localSheetId="2">'Scrap Cost by Line'!$1:$1</definedName>
  </definedNames>
  <calcPr calcId="171027" fullCalcOnLoad="1"/>
</workbook>
</file>

<file path=xl/sharedStrings.xml><?xml version="1.0" encoding="utf-8"?>
<sst xmlns="http://schemas.openxmlformats.org/spreadsheetml/2006/main" count="39" uniqueCount="36">
  <si>
    <t>Scrap Cost Model</t>
  </si>
  <si>
    <t>Consultify · konsultingowy arkusz roboczy</t>
  </si>
  <si>
    <t>Opis / Description</t>
  </si>
  <si>
    <t>Monthly scrap cost by production line, Leeds and Rotherham, Apr-Sep 2026.</t>
  </si>
  <si>
    <t>Organizacja / Organization</t>
  </si>
  <si>
    <t>Northwind Manufacturing Ltd.</t>
  </si>
  <si>
    <t>Źródło / Source</t>
  </si>
  <si>
    <t>local Northwind dump</t>
  </si>
  <si>
    <t>Wygenerowano / Generated</t>
  </si>
  <si>
    <t>2026-09-16</t>
  </si>
  <si>
    <t>Autor / Author</t>
  </si>
  <si>
    <t>Spis arkuszy / Table of contents</t>
  </si>
  <si>
    <t>01</t>
  </si>
  <si>
    <t>Assumptions</t>
  </si>
  <si>
    <t>02</t>
  </si>
  <si>
    <t>Scrap Cost by Line</t>
  </si>
  <si>
    <t>Assumption</t>
  </si>
  <si>
    <t>Value</t>
  </si>
  <si>
    <t>Reporting currency</t>
  </si>
  <si>
    <t>GBP</t>
  </si>
  <si>
    <t>Baseline period</t>
  </si>
  <si>
    <t>Apr-26 to Sep-26</t>
  </si>
  <si>
    <t>Scrap unit cost source</t>
  </si>
  <si>
    <t>Standard cost, Q2 2026 revision</t>
  </si>
  <si>
    <t>Production Line</t>
  </si>
  <si>
    <t>Apr-26</t>
  </si>
  <si>
    <t>May-26</t>
  </si>
  <si>
    <t>Jun-26</t>
  </si>
  <si>
    <t>Jul-26</t>
  </si>
  <si>
    <t>Aug-26</t>
  </si>
  <si>
    <t>Sep-26</t>
  </si>
  <si>
    <t>Total Scrap Cost</t>
  </si>
  <si>
    <t>Leeds L1</t>
  </si>
  <si>
    <t>Leeds L2</t>
  </si>
  <si>
    <t>Rotherham L3</t>
  </si>
  <si>
    <t>Rotherham 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</si>
</sst>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color rgb="FFFFFFFF"/>
      <sz val="10"/>
      <name val="Calibri"/>
    </font>
    <font>
      <b/>
      <color rgb="FF64748B"/>
      <sz val="10"/>
      <name val="Calibri"/>
    </font>
    <font>
      <color rgb="FF1F2933"/>
      <sz val="10"/>
      <name val="Calibri"/>
    </font>
    <font>
      <b/>
      <color rgb="FF0C447C"/>
      <sz val="11"/>
      <name val="Calibri"/>
    </font>
    <font>
      <u/>
      <color rgb="FF1B5FA8"/>
      <sz val="10"/>
      <name val="Calibri"/>
    </font>
    <font>
      <b/>
      <color rgb="FFFFFFFF"/>
      <sz val="11"/>
      <name val="Calibri"/>
    </font>
    <font>
      <sz val="11"/>
      <name val="Calibri"/>
    </font>
    <font>
      <sz val="10.5"/>
      <name val="Calibri"/>
    </font>
    <font>
      <color rgb="FF000000"/>
      <sz val="10.5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C447C"/>
      </patternFill>
    </fill>
    <fill>
      <patternFill patternType="solid">
        <fgColor rgb="FF1B5FA8"/>
      </patternFill>
    </fill>
    <fill>
      <patternFill patternType="solid">
        <fgColor rgb="FFE8EEF6"/>
      </patternFill>
    </fill>
    <fill>
      <patternFill patternType="solid">
        <fgColor rgb="FFF3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medium">
        <color rgb="FF1D9E7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5" fillId="4" borderId="0" xfId="0" applyFont="1" applyFill="1" applyAlignment="1">
      <alignment horizontal="left" vertical="center" indent="1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3" fontId="9" fillId="0" borderId="0" xfId="0" applyNumberFormat="1" applyFont="1" applyAlignment="1">
      <alignment horizontal="right" vertical="center"/>
    </xf>
    <xf numFmtId="3" fontId="10" fillId="0" borderId="0" xfId="0" applyNumberFormat="1" applyFont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3" fontId="9" fillId="5" borderId="0" xfId="0" applyNumberFormat="1" applyFont="1" applyFill="1" applyAlignment="1">
      <alignment horizontal="right" vertical="center"/>
    </xf>
    <xf numFmtId="3" fontId="10" fillId="5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Assumptions&apos;!A1" TargetMode="External"/><Relationship Id="rId2" Type="http://schemas.openxmlformats.org/officeDocument/2006/relationships/hyperlink" Target="#&apos;Scrap Cost by Line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4748B"/>
    <pageSetUpPr fitToPage="1"/>
  </sheetPr>
  <dimension ref="A1:B12"/>
  <sheetViews>
    <sheetView workbookViewId="0" showGridLines="0"/>
  </sheetViews>
  <sheetFormatPr defaultRowHeight="15" outlineLevelRow="0" outlineLevelCol="0" x14ac:dyDescent="55"/>
  <cols>
    <col min="1" max="1" width="26" customWidth="1"/>
    <col min="2" max="2" width="70" customWidth="1"/>
  </cols>
  <sheetData>
    <row r="1" ht="30" customHeight="1" spans="1:2" x14ac:dyDescent="0.25">
      <c r="A1" s="1" t="s">
        <v>0</v>
      </c>
      <c r="B1" s="1"/>
    </row>
    <row r="2" ht="18" customHeight="1" spans="1:2" x14ac:dyDescent="0.25">
      <c r="A2" s="2" t="s">
        <v>1</v>
      </c>
      <c r="B2" s="2"/>
    </row>
    <row r="4" spans="1:2" x14ac:dyDescent="0.25">
      <c r="A4" s="3" t="s">
        <v>2</v>
      </c>
      <c r="B4" s="4" t="s">
        <v>3</v>
      </c>
    </row>
    <row r="5" spans="1:2" x14ac:dyDescent="0.25">
      <c r="A5" s="3" t="s">
        <v>4</v>
      </c>
      <c r="B5" s="4" t="s">
        <v>5</v>
      </c>
    </row>
    <row r="6" spans="1:2" x14ac:dyDescent="0.25">
      <c r="A6" s="3" t="s">
        <v>6</v>
      </c>
      <c r="B6" s="4" t="s">
        <v>7</v>
      </c>
    </row>
    <row r="7" spans="1:2" x14ac:dyDescent="0.25">
      <c r="A7" s="3" t="s">
        <v>8</v>
      </c>
      <c r="B7" s="4" t="s">
        <v>9</v>
      </c>
    </row>
    <row r="8" spans="1:2" x14ac:dyDescent="0.25">
      <c r="A8" s="3" t="s">
        <v>10</v>
      </c>
      <c r="B8" s="4" t="s">
        <v>5</v>
      </c>
    </row>
    <row r="10" ht="20" customHeight="1" spans="1:2" x14ac:dyDescent="0.25">
      <c r="A10" s="5" t="s">
        <v>11</v>
      </c>
      <c r="B10" s="5"/>
    </row>
    <row r="11" spans="1:2" x14ac:dyDescent="0.25">
      <c r="A11" s="6" t="s">
        <v>12</v>
      </c>
      <c r="B11" s="7" t="s">
        <v>13</v>
      </c>
    </row>
    <row r="12" spans="1:2" x14ac:dyDescent="0.25">
      <c r="A12" s="6" t="s">
        <v>14</v>
      </c>
      <c r="B12" s="7" t="s">
        <v>15</v>
      </c>
    </row>
  </sheetData>
  <mergeCells count="3">
    <mergeCell ref="A1:B1"/>
    <mergeCell ref="A2:B2"/>
    <mergeCell ref="A10:B10"/>
  </mergeCells>
  <hyperlinks>
    <hyperlink ref="B11" r:id="rId1" location="#'Assumptions'!A1"/>
    <hyperlink ref="B12" r:id="rId2" location="#'Scrap Cost by Line'!A1"/>
  </hyperlinks>
  <pageMargins left="0.4" right="0.4" top="0.5" bottom="0.5" header="0.2" footer="0.2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0" customWidth="1"/>
  </cols>
  <sheetData>
    <row r="1" ht="28" customHeight="1" spans="1:2" x14ac:dyDescent="0.25">
      <c r="A1" s="8" t="s">
        <v>16</v>
      </c>
      <c r="B1" s="8" t="s">
        <v>17</v>
      </c>
    </row>
    <row r="2" ht="48" customHeight="1" spans="1:2" x14ac:dyDescent="0.25">
      <c r="A2" s="9" t="s">
        <v>16</v>
      </c>
      <c r="B2" s="9" t="s">
        <v>17</v>
      </c>
    </row>
    <row r="3" ht="48" customHeight="1" spans="1:2" x14ac:dyDescent="0.25">
      <c r="A3" s="10" t="s">
        <v>18</v>
      </c>
      <c r="B3" s="10" t="s">
        <v>19</v>
      </c>
    </row>
    <row r="4" ht="48" customHeight="1" spans="1:2" x14ac:dyDescent="0.25">
      <c r="A4" s="9" t="s">
        <v>20</v>
      </c>
      <c r="B4" s="9" t="s">
        <v>21</v>
      </c>
    </row>
    <row r="5" ht="48" customHeight="1" spans="1:2" x14ac:dyDescent="0.25">
      <c r="A5" s="10" t="s">
        <v>22</v>
      </c>
      <c r="B5" s="10" t="s">
        <v>23</v>
      </c>
    </row>
  </sheetData>
  <autoFilter ref="A1:B5"/>
  <printOptions horizontalCentered="1" verticalCentered="1"/>
  <pageMargins left="0.4" right="0.4" top="0.5" bottom="0.55" header="0.3" footer="0.3"/>
  <pageSetup paperSize="11" orientation="portrait" horizontalDpi="4294967295" verticalDpi="4294967295" scale="100" fitToWidth="1" fitToHeight="1"/>
  <headerFooter>
    <oddFooter>&amp;L&amp;"Calibri"&amp;8&amp;K64748BAssumptions&amp;C&amp;"Calibri"&amp;8&amp;K64748BConsultify&amp;R&amp;"Calibri"&amp;8&amp;K64748BStrona &amp;P z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7" customWidth="1"/>
    <col min="2" max="7" width="8" customWidth="1"/>
    <col min="8" max="8" width="18" customWidth="1"/>
  </cols>
  <sheetData>
    <row r="1" ht="26" customHeight="1" spans="1:8" x14ac:dyDescent="0.25">
      <c r="A1" s="8" t="s">
        <v>24</v>
      </c>
      <c r="B1" s="8" t="s">
        <v>25</v>
      </c>
      <c r="C1" s="8" t="s">
        <v>26</v>
      </c>
      <c r="D1" s="8" t="s">
        <v>27</v>
      </c>
      <c r="E1" s="8" t="s">
        <v>28</v>
      </c>
      <c r="F1" s="8" t="s">
        <v>29</v>
      </c>
      <c r="G1" s="8" t="s">
        <v>30</v>
      </c>
      <c r="H1" s="8" t="s">
        <v>31</v>
      </c>
    </row>
    <row r="2" ht="24" customHeight="1" spans="1:8" x14ac:dyDescent="0.25">
      <c r="A2" s="11" t="s">
        <v>32</v>
      </c>
      <c r="B2" s="12">
        <v>3444</v>
      </c>
      <c r="C2" s="12">
        <v>3276</v>
      </c>
      <c r="D2" s="12">
        <v>3822</v>
      </c>
      <c r="E2" s="12">
        <v>3192</v>
      </c>
      <c r="F2" s="12">
        <v>2940</v>
      </c>
      <c r="G2" s="12">
        <v>2730</v>
      </c>
      <c r="H2" s="13">
        <f>SUM(B2:G2)</f>
        <v>19404</v>
      </c>
    </row>
    <row r="3" ht="24" customHeight="1" spans="1:8" x14ac:dyDescent="0.25">
      <c r="A3" s="14" t="s">
        <v>33</v>
      </c>
      <c r="B3" s="15">
        <v>3264</v>
      </c>
      <c r="C3" s="15">
        <v>3570</v>
      </c>
      <c r="D3" s="15">
        <v>3009</v>
      </c>
      <c r="E3" s="15">
        <v>3111</v>
      </c>
      <c r="F3" s="15">
        <v>2958</v>
      </c>
      <c r="G3" s="15">
        <v>2856</v>
      </c>
      <c r="H3" s="16">
        <f>SUM(B3:G3)</f>
        <v>18768</v>
      </c>
    </row>
    <row r="4" ht="24" customHeight="1" spans="1:8" x14ac:dyDescent="0.25">
      <c r="A4" s="11" t="s">
        <v>34</v>
      </c>
      <c r="B4" s="12">
        <v>8228</v>
      </c>
      <c r="C4" s="12">
        <v>9112</v>
      </c>
      <c r="D4" s="12">
        <v>8024</v>
      </c>
      <c r="E4" s="12">
        <v>8772</v>
      </c>
      <c r="F4" s="12">
        <v>7820</v>
      </c>
      <c r="G4" s="12">
        <v>7344</v>
      </c>
      <c r="H4" s="13">
        <f>SUM(B4:G4)</f>
        <v>49300</v>
      </c>
    </row>
    <row r="5" ht="24" customHeight="1" spans="1:8" x14ac:dyDescent="0.25">
      <c r="A5" s="14" t="s">
        <v>35</v>
      </c>
      <c r="B5" s="15">
        <v>2499</v>
      </c>
      <c r="C5" s="15">
        <v>2352</v>
      </c>
      <c r="D5" s="15">
        <v>2548</v>
      </c>
      <c r="E5" s="15">
        <v>2303</v>
      </c>
      <c r="F5" s="15">
        <v>2156</v>
      </c>
      <c r="G5" s="15">
        <v>2107</v>
      </c>
      <c r="H5" s="16">
        <f>SUM(B5:G5)</f>
        <v>13965</v>
      </c>
    </row>
  </sheetData>
  <autoFilter ref="A1:H5"/>
  <printOptions horizontalCentered="1"/>
  <pageMargins left="0.4" right="0.4" top="0.5" bottom="0.55" header="0.3" footer="0.3"/>
  <pageSetup paperSize="9" orientation="landscape" horizontalDpi="4294967295" verticalDpi="4294967295" scale="100" fitToWidth="1" fitToHeight="0"/>
  <headerFooter>
    <oddFooter>&amp;L&amp;"Calibri"&amp;8&amp;K64748BScrap Cost by Line&amp;C&amp;"Calibri"&amp;8&amp;K64748BConsultify&amp;R&amp;"Calibri"&amp;8&amp;K64748BStrona &amp;P z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Assumptions</vt:lpstr>
      <vt:lpstr>Scrap Cost by Line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Northwind Manufacturing Ltd.</dc:creator>
  <dc:title/>
  <dc:subject/>
  <dc:description/>
  <cp:keywords/>
  <cp:category/>
  <cp:lastModifiedBy>Unknown</cp:lastModifiedBy>
  <dcterms:created xsi:type="dcterms:W3CDTF">2026-09-16T11:03:26Z</dcterms:created>
  <dcterms:modified xsi:type="dcterms:W3CDTF">2026-09-16T11:03:26Z</dcterms:modified>
</cp:coreProperties>
</file>