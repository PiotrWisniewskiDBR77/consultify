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omments6.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omments7.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omments8.xml" ContentType="application/vnd.openxmlformats-officedocument.spreadsheetml.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omments9.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0.xml" ContentType="application/vnd.openxmlformats-officedocument.drawing+xml"/>
  <Override PartName="/xl/comments10.xml" ContentType="application/vnd.openxmlformats-officedocument.spreadsheetml.comment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1.xml" ContentType="application/vnd.openxmlformats-officedocument.drawing+xml"/>
  <Override PartName="/xl/comments11.xml" ContentType="application/vnd.openxmlformats-officedocument.spreadsheetml.comment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2.xml" ContentType="application/vnd.openxmlformats-officedocument.drawing+xml"/>
  <Override PartName="/xl/comments12.xml" ContentType="application/vnd.openxmlformats-officedocument.spreadsheetml.comment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3.xml" ContentType="application/vnd.openxmlformats-officedocument.drawing+xml"/>
  <Override PartName="/xl/comments13.xml" ContentType="application/vnd.openxmlformats-officedocument.spreadsheetml.comment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4.xml" ContentType="application/vnd.openxmlformats-officedocument.drawing+xml"/>
  <Override PartName="/xl/comments14.xml" ContentType="application/vnd.openxmlformats-officedocument.spreadsheetml.comment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5.xml" ContentType="application/vnd.openxmlformats-officedocument.drawing+xml"/>
  <Override PartName="/xl/comments15.xml" ContentType="application/vnd.openxmlformats-officedocument.spreadsheetml.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6.xml" ContentType="application/vnd.openxmlformats-officedocument.drawing+xml"/>
  <Override PartName="/xl/comments16.xml" ContentType="application/vnd.openxmlformats-officedocument.spreadsheetml.comment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7.xml" ContentType="application/vnd.openxmlformats-officedocument.drawing+xml"/>
  <Override PartName="/xl/comments17.xml" ContentType="application/vnd.openxmlformats-officedocument.spreadsheetml.comments+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8.xml" ContentType="application/vnd.openxmlformats-officedocument.drawing+xml"/>
  <Override PartName="/xl/comments18.xml" ContentType="application/vnd.openxmlformats-officedocument.spreadsheetml.comments+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9.xml" ContentType="application/vnd.openxmlformats-officedocument.drawing+xml"/>
  <Override PartName="/xl/comments19.xml" ContentType="application/vnd.openxmlformats-officedocument.spreadsheetml.comments+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20.xml" ContentType="application/vnd.openxmlformats-officedocument.drawing+xml"/>
  <Override PartName="/xl/comments20.xml" ContentType="application/vnd.openxmlformats-officedocument.spreadsheetml.comments+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21.xml" ContentType="application/vnd.openxmlformats-officedocument.drawing+xml"/>
  <Override PartName="/xl/comments21.xml" ContentType="application/vnd.openxmlformats-officedocument.spreadsheetml.comments+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22.xml" ContentType="application/vnd.openxmlformats-officedocument.drawing+xml"/>
  <Override PartName="/xl/comments22.xml" ContentType="application/vnd.openxmlformats-officedocument.spreadsheetml.comments+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23.xml" ContentType="application/vnd.openxmlformats-officedocument.drawing+xml"/>
  <Override PartName="/xl/comments23.xml" ContentType="application/vnd.openxmlformats-officedocument.spreadsheetml.comments+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24.xml" ContentType="application/vnd.openxmlformats-officedocument.drawing+xml"/>
  <Override PartName="/xl/comments24.xml" ContentType="application/vnd.openxmlformats-officedocument.spreadsheetml.comments+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25.xml" ContentType="application/vnd.openxmlformats-officedocument.drawing+xml"/>
  <Override PartName="/xl/comments25.xml" ContentType="application/vnd.openxmlformats-officedocument.spreadsheetml.comments+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26.xml" ContentType="application/vnd.openxmlformats-officedocument.drawing+xml"/>
  <Override PartName="/xl/comments26.xml" ContentType="application/vnd.openxmlformats-officedocument.spreadsheetml.comments+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27.xml" ContentType="application/vnd.openxmlformats-officedocument.drawing+xml"/>
  <Override PartName="/xl/comments27.xml" ContentType="application/vnd.openxmlformats-officedocument.spreadsheetml.comments+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28.xml" ContentType="application/vnd.openxmlformats-officedocument.drawing+xml"/>
  <Override PartName="/xl/comments28.xml" ContentType="application/vnd.openxmlformats-officedocument.spreadsheetml.comments+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29.xml" ContentType="application/vnd.openxmlformats-officedocument.drawing+xml"/>
  <Override PartName="/xl/comments29.xml" ContentType="application/vnd.openxmlformats-officedocument.spreadsheetml.comments+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30.xml" ContentType="application/vnd.openxmlformats-officedocument.drawing+xml"/>
  <Override PartName="/xl/comments30.xml" ContentType="application/vnd.openxmlformats-officedocument.spreadsheetml.comments+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31.xml" ContentType="application/vnd.openxmlformats-officedocument.drawing+xml"/>
  <Override PartName="/xl/comments31.xml" ContentType="application/vnd.openxmlformats-officedocument.spreadsheetml.comments+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piotrwisniewski/Downloads/"/>
    </mc:Choice>
  </mc:AlternateContent>
  <xr:revisionPtr revIDLastSave="0" documentId="13_ncr:1_{56349D13-504C-FB4B-AC2F-1F320C58417A}" xr6:coauthVersionLast="47" xr6:coauthVersionMax="47" xr10:uidLastSave="{00000000-0000-0000-0000-000000000000}"/>
  <bookViews>
    <workbookView xWindow="0" yWindow="660" windowWidth="28800" windowHeight="17980" tabRatio="867" xr2:uid="{6B36BE8E-1426-4ED6-9B01-1470C6628422}"/>
  </bookViews>
  <sheets>
    <sheet name="Ogólny " sheetId="2" r:id="rId1"/>
    <sheet name="Arkusz1" sheetId="35" state="hidden" r:id="rId2"/>
    <sheet name="Karta wskaźnika PRZYKŁAD" sheetId="3" r:id="rId3"/>
    <sheet name="Sprzedaż netto narastająco" sheetId="4" state="hidden" r:id="rId4"/>
    <sheet name="Poziom przyjętych zamówień" sheetId="5" state="hidden" r:id="rId5"/>
    <sheet name="Zużycie materiałów" sheetId="6" state="hidden" r:id="rId6"/>
    <sheet name="Odpad technologiczny jakościowy" sheetId="7" state="hidden" r:id="rId7"/>
    <sheet name="Kary" sheetId="8" state="hidden" r:id="rId8"/>
    <sheet name="Koszt pracy bezpośredniej" sheetId="9" state="hidden" r:id="rId9"/>
    <sheet name="Koszt pracy niebezpośr.-prod." sheetId="10" state="hidden" r:id="rId10"/>
    <sheet name="Koszt transportu out" sheetId="11" state="hidden" r:id="rId11"/>
    <sheet name="Koszt transportu in" sheetId="12" state="hidden" r:id="rId12"/>
    <sheet name="Wynagrodzenie kadry" sheetId="13" state="hidden" r:id="rId13"/>
    <sheet name="Marża bezpośrednia" sheetId="14" state="hidden" r:id="rId14"/>
    <sheet name="Koszty wydziałowe" sheetId="15" state="hidden" r:id="rId15"/>
    <sheet name="EBITDA" sheetId="16" state="hidden" r:id="rId16"/>
    <sheet name="CAPEX" sheetId="17" state="hidden" r:id="rId17"/>
    <sheet name="Zwroty od klienta" sheetId="18" state="hidden" r:id="rId18"/>
    <sheet name="Wymiana u klienta" sheetId="19" state="hidden" r:id="rId19"/>
    <sheet name="Zwroty klientów (wewnętrzne)" sheetId="20" state="hidden" r:id="rId20"/>
    <sheet name="Poziom Backlog" sheetId="21" state="hidden" r:id="rId21"/>
    <sheet name="Dostawy na czas" sheetId="22" state="hidden" r:id="rId22"/>
    <sheet name="OEE" sheetId="23" state="hidden" r:id="rId23"/>
    <sheet name="WIP" sheetId="24" state="hidden" r:id="rId24"/>
    <sheet name="Materiał" sheetId="25" state="hidden" r:id="rId25"/>
    <sheet name="Wyroby gotowe" sheetId="26" state="hidden" r:id="rId26"/>
    <sheet name="Towary" sheetId="27" state="hidden" r:id="rId27"/>
    <sheet name="Współczynnik rotacji" sheetId="28" state="hidden" r:id="rId28"/>
    <sheet name="Absencja" sheetId="29" state="hidden" r:id="rId29"/>
    <sheet name="Poziom zaległych ulopów" sheetId="30" state="hidden" r:id="rId30"/>
    <sheet name="Ilość wypadków" sheetId="31" state="hidden" r:id="rId31"/>
    <sheet name="Zużycie energii elektrycznej" sheetId="32" state="hidden" r:id="rId32"/>
    <sheet name="Zużycie wody" sheetId="33" state="hidden" r:id="rId33"/>
    <sheet name="UR" sheetId="34" state="hidden" r:id="rId34"/>
  </sheets>
  <externalReferences>
    <externalReference r:id="rId35"/>
  </externalReferences>
  <definedNames>
    <definedName name="_xlnm._FilterDatabase" localSheetId="0" hidden="1">'Ogólny '!$C$7:$AB$296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271" i="2" l="1"/>
  <c r="G271" i="2"/>
  <c r="F273" i="2"/>
  <c r="G273" i="2"/>
  <c r="F275" i="2"/>
  <c r="G275" i="2"/>
  <c r="F277" i="2"/>
  <c r="G277" i="2"/>
  <c r="F279" i="2"/>
  <c r="G279" i="2"/>
  <c r="F281" i="2"/>
  <c r="G281" i="2"/>
  <c r="F283" i="2"/>
  <c r="G283" i="2"/>
  <c r="F285" i="2"/>
  <c r="G285" i="2"/>
  <c r="F287" i="2"/>
  <c r="G287" i="2"/>
  <c r="F289" i="2"/>
  <c r="G289" i="2"/>
  <c r="F291" i="2"/>
  <c r="G291" i="2"/>
  <c r="F293" i="2"/>
  <c r="G293" i="2"/>
  <c r="F295" i="2"/>
  <c r="G295" i="2"/>
  <c r="F297" i="2"/>
  <c r="G297" i="2"/>
  <c r="F299" i="2"/>
  <c r="G299" i="2"/>
  <c r="F301" i="2"/>
  <c r="G301" i="2"/>
  <c r="F303" i="2"/>
  <c r="G303" i="2"/>
  <c r="F305" i="2"/>
  <c r="G305" i="2"/>
  <c r="G269" i="2"/>
  <c r="F269" i="2"/>
  <c r="U4" i="2"/>
  <c r="H1" i="32" l="1"/>
  <c r="H1" i="20"/>
  <c r="H1" i="8"/>
  <c r="V7" i="2"/>
  <c r="H1" i="7"/>
  <c r="U7" i="2"/>
  <c r="H1" i="18"/>
  <c r="R7" i="2"/>
  <c r="H1" i="15"/>
  <c r="H1" i="12"/>
  <c r="Y7" i="2"/>
  <c r="H1" i="33"/>
  <c r="H1" i="31"/>
  <c r="H1" i="19"/>
  <c r="H1" i="6"/>
  <c r="H1" i="4"/>
  <c r="H1" i="3"/>
  <c r="H1" i="14"/>
  <c r="H1" i="25"/>
  <c r="AA7" i="2"/>
  <c r="H1" i="24"/>
  <c r="H1" i="23"/>
  <c r="X7" i="2"/>
  <c r="H1" i="21"/>
  <c r="H1" i="30"/>
  <c r="T7" i="2"/>
  <c r="H1" i="16"/>
  <c r="Q7" i="2"/>
  <c r="H1" i="26"/>
  <c r="H1" i="13"/>
  <c r="H1" i="29"/>
  <c r="H1" i="17"/>
  <c r="H1" i="5"/>
  <c r="S7" i="2"/>
  <c r="H1" i="27"/>
  <c r="H1" i="28"/>
  <c r="Z7" i="2"/>
  <c r="H1" i="22"/>
  <c r="H1" i="9"/>
  <c r="O7" i="2"/>
  <c r="H1" i="11"/>
  <c r="W7" i="2"/>
  <c r="H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307C8CEA-8C49-4668-BA8B-BBEE5E95852C}">
      <text>
        <r>
          <rPr>
            <b/>
            <sz val="9"/>
            <color indexed="81"/>
            <rFont val="Tahoma"/>
            <family val="2"/>
            <charset val="238"/>
          </rPr>
          <t>Choose number of months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2ED5C229-206E-4463-B57E-51B650896FC7}">
      <text>
        <r>
          <rPr>
            <b/>
            <sz val="9"/>
            <color indexed="81"/>
            <rFont val="Tahoma"/>
            <family val="2"/>
            <charset val="238"/>
          </rPr>
          <t>Choose number of months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558630D1-3EBB-4A55-A598-9B75D348AC44}">
      <text>
        <r>
          <rPr>
            <b/>
            <sz val="9"/>
            <color indexed="81"/>
            <rFont val="Tahoma"/>
            <family val="2"/>
            <charset val="238"/>
          </rPr>
          <t>Choose number of months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91D39818-6CAF-4E37-9A3E-906D814F420E}">
      <text>
        <r>
          <rPr>
            <b/>
            <sz val="9"/>
            <color indexed="81"/>
            <rFont val="Tahoma"/>
            <family val="2"/>
            <charset val="238"/>
          </rPr>
          <t>Choose number of months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335DFF0E-65F5-4B28-AFBE-E27A1074D048}">
      <text>
        <r>
          <rPr>
            <b/>
            <sz val="9"/>
            <color indexed="81"/>
            <rFont val="Tahoma"/>
            <family val="2"/>
            <charset val="238"/>
          </rPr>
          <t>Choose number of months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6A5B2FE4-02AC-46DD-9915-FD531FC526F6}">
      <text>
        <r>
          <rPr>
            <b/>
            <sz val="9"/>
            <color indexed="81"/>
            <rFont val="Tahoma"/>
            <family val="2"/>
            <charset val="238"/>
          </rPr>
          <t>Choose number of months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8A25269F-5276-4D65-8194-3F83B894AD4E}">
      <text>
        <r>
          <rPr>
            <b/>
            <sz val="9"/>
            <color indexed="81"/>
            <rFont val="Tahoma"/>
            <family val="2"/>
            <charset val="238"/>
          </rPr>
          <t>Choose number of months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6B028B5B-CF6E-417E-91B4-09F3C1458E3F}">
      <text>
        <r>
          <rPr>
            <b/>
            <sz val="9"/>
            <color indexed="81"/>
            <rFont val="Tahoma"/>
            <family val="2"/>
            <charset val="238"/>
          </rPr>
          <t>Choose number of months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83E772BE-DFDB-4D07-870C-2201ACAAA684}">
      <text>
        <r>
          <rPr>
            <b/>
            <sz val="9"/>
            <color indexed="81"/>
            <rFont val="Tahoma"/>
            <family val="2"/>
            <charset val="238"/>
          </rPr>
          <t>Choose number of months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745DEC3A-0288-456B-964F-F01949C89CEE}">
      <text>
        <r>
          <rPr>
            <b/>
            <sz val="9"/>
            <color indexed="81"/>
            <rFont val="Tahoma"/>
            <family val="2"/>
            <charset val="238"/>
          </rPr>
          <t>Choose number of months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A43251CD-EBD5-44FE-A5EF-792947115857}">
      <text>
        <r>
          <rPr>
            <b/>
            <sz val="9"/>
            <color indexed="81"/>
            <rFont val="Tahoma"/>
            <family val="2"/>
            <charset val="238"/>
          </rPr>
          <t>Choose number of months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A62179D1-4081-40A6-9A25-7A22948432AF}">
      <text>
        <r>
          <rPr>
            <b/>
            <sz val="9"/>
            <color indexed="81"/>
            <rFont val="Tahoma"/>
            <family val="2"/>
            <charset val="238"/>
          </rPr>
          <t>Choose number of months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FEECA6D2-B695-4F9A-8A0A-529744C22314}">
      <text>
        <r>
          <rPr>
            <b/>
            <sz val="9"/>
            <color indexed="81"/>
            <rFont val="Tahoma"/>
            <family val="2"/>
            <charset val="238"/>
          </rPr>
          <t>Choose number of months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94ABAFEC-E109-4CE2-AFCB-1739B8CD092F}">
      <text>
        <r>
          <rPr>
            <b/>
            <sz val="9"/>
            <color indexed="81"/>
            <rFont val="Tahoma"/>
            <family val="2"/>
            <charset val="238"/>
          </rPr>
          <t>Choose number of months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C97A33A0-3289-4F7D-BA16-DE404F863B10}">
      <text>
        <r>
          <rPr>
            <b/>
            <sz val="9"/>
            <color indexed="81"/>
            <rFont val="Tahoma"/>
            <family val="2"/>
            <charset val="238"/>
          </rPr>
          <t>Choose number of months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7F7E2998-D3E9-43C6-9A56-C621F75491F2}">
      <text>
        <r>
          <rPr>
            <b/>
            <sz val="9"/>
            <color indexed="81"/>
            <rFont val="Tahoma"/>
            <family val="2"/>
            <charset val="238"/>
          </rPr>
          <t>Choose number of months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8B040446-ADB0-4D72-A064-9C9282408C34}">
      <text>
        <r>
          <rPr>
            <b/>
            <sz val="9"/>
            <color indexed="81"/>
            <rFont val="Tahoma"/>
            <family val="2"/>
            <charset val="238"/>
          </rPr>
          <t>Choose number of months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F9DA1E69-D1E7-4F3A-B1BB-14DA955482F2}">
      <text>
        <r>
          <rPr>
            <b/>
            <sz val="9"/>
            <color indexed="81"/>
            <rFont val="Tahoma"/>
            <family val="2"/>
            <charset val="238"/>
          </rPr>
          <t>Choose number of months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19439C99-29A0-4D68-9282-3931772CD047}">
      <text>
        <r>
          <rPr>
            <b/>
            <sz val="9"/>
            <color indexed="81"/>
            <rFont val="Tahoma"/>
            <family val="2"/>
            <charset val="238"/>
          </rPr>
          <t>Choose number of months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08F90240-4389-4AD3-A9F5-F2A48D4B63BD}">
      <text>
        <r>
          <rPr>
            <b/>
            <sz val="9"/>
            <color indexed="81"/>
            <rFont val="Tahoma"/>
            <family val="2"/>
            <charset val="238"/>
          </rPr>
          <t>Choose number of months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8577A587-BBE2-42C2-8E9C-508A1735AD9D}">
      <text>
        <r>
          <rPr>
            <b/>
            <sz val="9"/>
            <color indexed="81"/>
            <rFont val="Tahoma"/>
            <family val="2"/>
            <charset val="238"/>
          </rPr>
          <t>Choose number of months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B22C103D-D69A-439E-9F0A-AC13E291B5B0}">
      <text>
        <r>
          <rPr>
            <b/>
            <sz val="9"/>
            <color indexed="81"/>
            <rFont val="Tahoma"/>
            <family val="2"/>
            <charset val="238"/>
          </rPr>
          <t>Choose number of months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CCA4A1AC-FC95-4376-8D03-306E202F78A6}">
      <text>
        <r>
          <rPr>
            <b/>
            <sz val="9"/>
            <color indexed="81"/>
            <rFont val="Tahoma"/>
            <family val="2"/>
            <charset val="238"/>
          </rPr>
          <t>Choose number of months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46528983-2495-4F00-A9AE-42B04D1D5E95}">
      <text>
        <r>
          <rPr>
            <b/>
            <sz val="9"/>
            <color indexed="81"/>
            <rFont val="Tahoma"/>
            <family val="2"/>
            <charset val="238"/>
          </rPr>
          <t>Choose number of months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F99AFA6F-A956-4E4A-9BD8-65EFB5970835}">
      <text>
        <r>
          <rPr>
            <b/>
            <sz val="9"/>
            <color indexed="81"/>
            <rFont val="Tahoma"/>
            <family val="2"/>
            <charset val="238"/>
          </rPr>
          <t>Choose number of months</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122507E1-B567-48C0-9550-964D87E48696}">
      <text>
        <r>
          <rPr>
            <b/>
            <sz val="9"/>
            <color indexed="81"/>
            <rFont val="Tahoma"/>
            <family val="2"/>
            <charset val="238"/>
          </rPr>
          <t>Choose number of months</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402DD5CC-9D93-407C-BEC5-1E9B6547E9B6}">
      <text>
        <r>
          <rPr>
            <b/>
            <sz val="9"/>
            <color indexed="81"/>
            <rFont val="Tahoma"/>
            <family val="2"/>
            <charset val="238"/>
          </rPr>
          <t>Choose number of months</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16362EE5-B9BC-4261-8B6D-3D051457694A}">
      <text>
        <r>
          <rPr>
            <b/>
            <sz val="9"/>
            <color indexed="81"/>
            <rFont val="Tahoma"/>
            <family val="2"/>
            <charset val="238"/>
          </rPr>
          <t>Choose number of months</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F81E3BEE-6D04-4D81-8053-EE917D5056C3}">
      <text>
        <r>
          <rPr>
            <b/>
            <sz val="9"/>
            <color indexed="81"/>
            <rFont val="Tahoma"/>
            <family val="2"/>
            <charset val="238"/>
          </rPr>
          <t>Choose number of months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E0976F6B-9FF4-4998-8CAF-A977D2939823}">
      <text>
        <r>
          <rPr>
            <b/>
            <sz val="9"/>
            <color indexed="81"/>
            <rFont val="Tahoma"/>
            <family val="2"/>
            <charset val="238"/>
          </rPr>
          <t>Choose number of months</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2" authorId="0" shapeId="0" xr:uid="{934AC694-4282-4E18-9118-80DEE798A9D6}">
      <text>
        <r>
          <rPr>
            <b/>
            <sz val="9"/>
            <color indexed="81"/>
            <rFont val="Tahoma"/>
            <family val="2"/>
            <charset val="238"/>
          </rPr>
          <t>Choose number of months</t>
        </r>
      </text>
    </comment>
  </commentList>
</comments>
</file>

<file path=xl/sharedStrings.xml><?xml version="1.0" encoding="utf-8"?>
<sst xmlns="http://schemas.openxmlformats.org/spreadsheetml/2006/main" count="1694" uniqueCount="490">
  <si>
    <t>EBITDA</t>
  </si>
  <si>
    <t>Plant Balanced Scorecard</t>
  </si>
  <si>
    <t>Edycja</t>
  </si>
  <si>
    <t>01</t>
  </si>
  <si>
    <t>Zakład :</t>
  </si>
  <si>
    <t>Rok</t>
  </si>
  <si>
    <t>Przygotowany przez</t>
  </si>
  <si>
    <t>Data rewizji</t>
  </si>
  <si>
    <t>WSKAŹNIK</t>
  </si>
  <si>
    <t>Typ wskaźnika</t>
  </si>
  <si>
    <t>Odpowiedzialność</t>
  </si>
  <si>
    <t>YTD</t>
  </si>
  <si>
    <t>CEL
REZULTAT</t>
  </si>
  <si>
    <t>Sprzedaż netto</t>
  </si>
  <si>
    <t>min</t>
  </si>
  <si>
    <t>Miesiąc</t>
  </si>
  <si>
    <t>Informacyjny</t>
  </si>
  <si>
    <t>Finanse</t>
  </si>
  <si>
    <t>CEL</t>
  </si>
  <si>
    <t>LC/1000</t>
  </si>
  <si>
    <t>Rezultat</t>
  </si>
  <si>
    <t>Sprzedaż netto narastająco</t>
  </si>
  <si>
    <t>Zużycie materiałów</t>
  </si>
  <si>
    <t>max.</t>
  </si>
  <si>
    <t>% sprzedaży</t>
  </si>
  <si>
    <t>min.</t>
  </si>
  <si>
    <t>Koszty wydziałowe</t>
  </si>
  <si>
    <t xml:space="preserve">EBITDA </t>
  </si>
  <si>
    <t>Sprzedaż</t>
  </si>
  <si>
    <t xml:space="preserve">min. </t>
  </si>
  <si>
    <t>Rozliczeniowy</t>
  </si>
  <si>
    <t>m2</t>
  </si>
  <si>
    <t>Miesiąc narastajaco</t>
  </si>
  <si>
    <t>Planowanie</t>
  </si>
  <si>
    <t xml:space="preserve">max. </t>
  </si>
  <si>
    <t>dni</t>
  </si>
  <si>
    <t>m kw</t>
  </si>
  <si>
    <t>Produkcja</t>
  </si>
  <si>
    <t>%</t>
  </si>
  <si>
    <t>COO</t>
  </si>
  <si>
    <t xml:space="preserve">Narastająco </t>
  </si>
  <si>
    <t>Technologia</t>
  </si>
  <si>
    <t>Kwartał</t>
  </si>
  <si>
    <t>szt.</t>
  </si>
  <si>
    <t>Jakość</t>
  </si>
  <si>
    <t>Kwatalny</t>
  </si>
  <si>
    <t>Roczny</t>
  </si>
  <si>
    <t>Logistyka</t>
  </si>
  <si>
    <t>max</t>
  </si>
  <si>
    <t>UR</t>
  </si>
  <si>
    <t>Narastająco</t>
  </si>
  <si>
    <t>informacyjny</t>
  </si>
  <si>
    <t>Zużycie energii elektrycznej</t>
  </si>
  <si>
    <t>HR</t>
  </si>
  <si>
    <t>Koszt pracy bezpośredniej (udział)</t>
  </si>
  <si>
    <t>Koszt pracy niebezpośrednio-produkcyjnej</t>
  </si>
  <si>
    <t>Absencja</t>
  </si>
  <si>
    <t>Współczynnik rotacji</t>
  </si>
  <si>
    <t>BHP</t>
  </si>
  <si>
    <t>sztuk</t>
  </si>
  <si>
    <t>Lata:</t>
  </si>
  <si>
    <t>UWAGA - jeśli istnieje osobny plan działania lub opracowany dokument analizy przyczyny pierwotnej, w komórce "Komentarze" wystarczy przywołać dany dokument (nie ma potrzeby powielania informacji i działań).</t>
  </si>
  <si>
    <t>Czy osiągnięto cel?</t>
  </si>
  <si>
    <t>Czy wymagane są działania?</t>
  </si>
  <si>
    <t>Opis problemu</t>
  </si>
  <si>
    <t>Główna przyczyna</t>
  </si>
  <si>
    <t>Opis działań</t>
  </si>
  <si>
    <t>Data zakończenia</t>
  </si>
  <si>
    <t>Komentarze</t>
  </si>
  <si>
    <t>Status
(OTWARTY/
ZAMKNIĘTY)</t>
  </si>
  <si>
    <t>Poziom przyjętych zamówień</t>
  </si>
  <si>
    <t>Odpad technologiczny/jakościowy</t>
  </si>
  <si>
    <t>Kary</t>
  </si>
  <si>
    <t>Koszt transportu out</t>
  </si>
  <si>
    <t>Koszt transportu in</t>
  </si>
  <si>
    <t>Wynagrodzenie kadry</t>
  </si>
  <si>
    <t>Marża bezpośrednia</t>
  </si>
  <si>
    <t>CAPEX</t>
  </si>
  <si>
    <t>Zwroty od klienta</t>
  </si>
  <si>
    <t>Wymiana u klienta</t>
  </si>
  <si>
    <t>Zwroty klientów (wewnętrzne)</t>
  </si>
  <si>
    <t>Poziom Backlog</t>
  </si>
  <si>
    <t>Dostawy na czas</t>
  </si>
  <si>
    <t>OEE na kluczowych stanowiskach (legalizacja mieszkaniowe)</t>
  </si>
  <si>
    <t>WIP</t>
  </si>
  <si>
    <t>Materiał</t>
  </si>
  <si>
    <t>Wyroby gotowe</t>
  </si>
  <si>
    <t>Towary</t>
  </si>
  <si>
    <t>Poziom zaległych urlopów</t>
  </si>
  <si>
    <t>Ilość wypadków</t>
  </si>
  <si>
    <t>Zużycie wody</t>
  </si>
  <si>
    <t>Do wprowadzenia</t>
  </si>
  <si>
    <t>MT</t>
  </si>
  <si>
    <t>SALES DIRECTOR</t>
  </si>
  <si>
    <t>PLANT DIRECTOR</t>
  </si>
  <si>
    <t>OSZCZĘDNOŚCI ZAKUPOWE (% / wartość)</t>
  </si>
  <si>
    <t>SZYBKOŚĆ REAKCJI NA ZGŁOSZENIA (TICKET)</t>
  </si>
  <si>
    <t>LICZBA ZGŁOSZEŃ DO IT</t>
  </si>
  <si>
    <t>LEAN</t>
  </si>
  <si>
    <t>LICZBA PROJEKTÓW INWESTYCYJNYCH</t>
  </si>
  <si>
    <t>% REALIZACJI PROJEKTÓW INWESTYCYJNYCH</t>
  </si>
  <si>
    <t>N</t>
  </si>
  <si>
    <t>MD</t>
  </si>
  <si>
    <t>TECHNICAL &amp; INVESTMENT</t>
  </si>
  <si>
    <t>EHS SPEC.</t>
  </si>
  <si>
    <t>EHS</t>
  </si>
  <si>
    <t>PLANOWANIE</t>
  </si>
  <si>
    <t>GD (SALES)</t>
  </si>
  <si>
    <t>OBSZAR</t>
  </si>
  <si>
    <t>kWh</t>
  </si>
  <si>
    <t>m3</t>
  </si>
  <si>
    <t>Liczba</t>
  </si>
  <si>
    <t>KOSZTY ODPADÓW / OCZYSZCZANIA</t>
  </si>
  <si>
    <t>ZUŻYCIE WODY</t>
  </si>
  <si>
    <t>AUDYTY BHP/PPOŻ</t>
  </si>
  <si>
    <t>h</t>
  </si>
  <si>
    <t>WARTOŚĆ REKLAMACJI</t>
  </si>
  <si>
    <t>RECERTYFIKACJA</t>
  </si>
  <si>
    <t>ROTACJA ZAPASÓW (PAPIER; TYCHY)</t>
  </si>
  <si>
    <t>REALIZACJA AUDYTÓW WEWNĘTRZNYCH</t>
  </si>
  <si>
    <t>LICZBA REKLAMACJI</t>
  </si>
  <si>
    <t>PLN</t>
  </si>
  <si>
    <t>% ZREALIZOWANYCH ZGŁOSZEŃ W TERMINIE</t>
  </si>
  <si>
    <t>LICZBA ZDARZEŃ POTENCJALNIE WYPADKOWYCH</t>
  </si>
  <si>
    <t>% REALIZACJI BUDŻETU KOSZTÓW ZAKŁADU</t>
  </si>
  <si>
    <t>WIELKOŚĆ SPRZEDAŻY</t>
  </si>
  <si>
    <t>ŚREDNIA MARŻA</t>
  </si>
  <si>
    <t>DOPUSZCZALNE LIMITY [%]</t>
  </si>
  <si>
    <t>LICZBA NOWYCH KLIENTÓW</t>
  </si>
  <si>
    <t>POZIOM OTWARTYCH ZAMÓWIEŃ</t>
  </si>
  <si>
    <t>PROCENT REFAKTUROWANIA NARZĘDZI</t>
  </si>
  <si>
    <t>POZIOM SATYSFAKCJI KLIENTÓW</t>
  </si>
  <si>
    <t>NALEŻNOŚCI PRZETERMINOWANA POWYŻEJ 7 DNI</t>
  </si>
  <si>
    <t>LICZBA OPTYMALIZACJI PORTFOLIO KLIENTA (KAIZEN WEWN.)</t>
  </si>
  <si>
    <t>PRZYGOTOWANIE RAPORTÓW FINANSOWYCH NA CZAS</t>
  </si>
  <si>
    <t>TERMINOWE ROZLICZANIE RAPORTÓW SSE</t>
  </si>
  <si>
    <t>ABSENCJA</t>
  </si>
  <si>
    <t>WSPÓŁCZYNNIK ROTACJI</t>
  </si>
  <si>
    <t>PPH (m2/LICZBA PRACOWNIKÓW BEZP./POŚR.)</t>
  </si>
  <si>
    <t>m2/head</t>
  </si>
  <si>
    <t>ŚREDNI POZIOM WYPEŁNIENIA NACZEPY (% LUB M2 / TRANSPORT)</t>
  </si>
  <si>
    <t>%/m2/transport</t>
  </si>
  <si>
    <t>liczba</t>
  </si>
  <si>
    <t>m 2</t>
  </si>
  <si>
    <t>OEE - ŚREDNIE CAŁY ZAKŁAD</t>
  </si>
  <si>
    <t>ODPAD PRODUKCYJNY</t>
  </si>
  <si>
    <t>CZAS AWARII</t>
  </si>
  <si>
    <t>NARASTAJĄCO REALIZOWANE WYDATKI NA UR</t>
  </si>
  <si>
    <t>LICZBA AWARII</t>
  </si>
  <si>
    <t xml:space="preserve">LICZBA ZREALIZOWANYCH GODZIN PRZEGLĄDÓW PREWENCYJNYCH </t>
  </si>
  <si>
    <t>ZUŻYCIE GAZU</t>
  </si>
  <si>
    <t>ZUŻYCIE ENERGII ELEKTRYCZNEJ</t>
  </si>
  <si>
    <t>LICZBA (WDROŻONYCH ?) INICJATYW KAIZEN</t>
  </si>
  <si>
    <t>REALIZACJA ZADAŃ Z ACTION PLAN LEAN / POSTĘP PROJEKTU</t>
  </si>
  <si>
    <t>DOSTAWY NA CZAS (OTIF)</t>
  </si>
  <si>
    <t>KOSZTY MAGAZYNOWANIA ZEWNĘTRZNEGO</t>
  </si>
  <si>
    <t>RÓŻNICE INWENTARYZACYJNE PALET</t>
  </si>
  <si>
    <t>RÓŻNICE INWENTARYZACYJNE WYROBU GOTOWEGO</t>
  </si>
  <si>
    <t>WIP TEKTURA - PODŁOGA, LICZBA PALET</t>
  </si>
  <si>
    <t>UTYLIZACJA MOCY PRODUKCYJNYCH (BEZ ZMIAN DODATKOWYCH)</t>
  </si>
  <si>
    <t>WIP - PÓŁWYRÓB ROTACJA</t>
  </si>
  <si>
    <t>WIP ROTACJA - TEKTURA</t>
  </si>
  <si>
    <t>WIP PÓŁWYRÓB (PODŁOGA) - LICZBA PALET</t>
  </si>
  <si>
    <t>KOSZTY CAPEX - SKUMULOWANA WARTOŚĆ</t>
  </si>
  <si>
    <t>lata</t>
  </si>
  <si>
    <t>ROI PRE-INWESTYCYJNE</t>
  </si>
  <si>
    <t>ROI POST-INWESTYCYJNE</t>
  </si>
  <si>
    <t>BENCHMARK
 TYC/SKA</t>
  </si>
  <si>
    <t>Jednostka</t>
  </si>
  <si>
    <t>Częstotliwość</t>
  </si>
  <si>
    <t>WARTOŚĆ NADGODZIN PŁATNYCH</t>
  </si>
  <si>
    <t>%/zmian</t>
  </si>
  <si>
    <t>REALIZACJA BUDŻETU ZAKUPÓW (W PODZIALE NA KATEGORIE) / WYDATKI SKONSOLIDOWANE</t>
  </si>
  <si>
    <t xml:space="preserve">ROTACJA ZOBOWIĄZAŃ </t>
  </si>
  <si>
    <t>LICZBA WYPADKÓW</t>
  </si>
  <si>
    <t>WIELKOŚĆ OSZCZĘDNOŚCI Z OPTYMALIZACJI</t>
  </si>
  <si>
    <t>TERMINOWA SPRAWOZDAWCZOŚĆ WYNIKOWA, MARŻOWA, URZĘDOWA</t>
  </si>
  <si>
    <t>STAN MAGAZYNU PALET (ŚREDNIA LICZBA PALET NIE WIĘCEJ NIŻ 5% POWYŻEJ LIMITU)</t>
  </si>
  <si>
    <t>WIELKOŚĆ PRODUKCJI</t>
  </si>
  <si>
    <t>DPW</t>
  </si>
  <si>
    <t>CS</t>
  </si>
  <si>
    <t>RSM/KAM</t>
  </si>
  <si>
    <t>[m2]</t>
  </si>
  <si>
    <t>[szt.]</t>
  </si>
  <si>
    <t>LICZBA NOWYCH WOLUMENÓW (BEZ MODYFIKACJI OBECNYCH)</t>
  </si>
  <si>
    <t>jak rozliczać nowy wolumne?</t>
  </si>
  <si>
    <t>WIELKOŚĆ SPRZEDAŻY (indywidualna)</t>
  </si>
  <si>
    <t>LICZBA WDROŻEŃ FTQ (PPP)</t>
  </si>
  <si>
    <t>POZIOM WYKORZYSTANIA URLOPÓW</t>
  </si>
  <si>
    <t>SPRZEDAŻ</t>
  </si>
  <si>
    <t>Growth Officer</t>
  </si>
  <si>
    <t>Product Manager</t>
  </si>
  <si>
    <t>R&amp;D</t>
  </si>
  <si>
    <t>Dyrektor Zakupy</t>
  </si>
  <si>
    <t>Dyrektor Logistyka</t>
  </si>
  <si>
    <t>Dyrektor Jakość</t>
  </si>
  <si>
    <t>Dyrektor IT/OT</t>
  </si>
  <si>
    <t>Dyrektor HR</t>
  </si>
  <si>
    <t>CFO</t>
  </si>
  <si>
    <t>Dopasowanie  produktu / tech procesu</t>
  </si>
  <si>
    <t>Utrzymanie Ruchu</t>
  </si>
  <si>
    <t>Definicja</t>
  </si>
  <si>
    <t>WIELKOŚĆ SPRZEDAŻY NETTO</t>
  </si>
  <si>
    <t>WIELKOŚĆ SPRZEDAŻY NETTO (eksport)</t>
  </si>
  <si>
    <t>WIELKOŚĆ SPRZEDAŻY NETTO (kraj)</t>
  </si>
  <si>
    <t>WIELKOŚĆ SPRZEDAŻY NETTO (narastająco)</t>
  </si>
  <si>
    <t>WIELKOŚĆ SPRZEDAŻY NETTO (w odniesieniu do budżetu)</t>
  </si>
  <si>
    <t>WIELKOŚĆ SPRZEDAŻY NETTO (w odniesieniu do prognozy)</t>
  </si>
  <si>
    <t>Miesiąc narastająco</t>
  </si>
  <si>
    <t>DIRECT LABOR</t>
  </si>
  <si>
    <t>INDIRECT LABOR</t>
  </si>
  <si>
    <t>ZUŻYCIE ENRGII CIEPLNEJ</t>
  </si>
  <si>
    <t>Koszty ogólnego zarządu</t>
  </si>
  <si>
    <t>Zysk netto</t>
  </si>
  <si>
    <t>KON - Kapitał Obrotowy Netto</t>
  </si>
  <si>
    <t>Należności</t>
  </si>
  <si>
    <t>Zobowiązania</t>
  </si>
  <si>
    <t>OEE - na kluczowych stanowiskach</t>
  </si>
  <si>
    <t>Stopień realizacji planu produkcji (szt zdane do magazynu - wyrób gotowy)</t>
  </si>
  <si>
    <t>Terminowość dostaw (OTIF - On-Time In-Full)</t>
  </si>
  <si>
    <t>FTA/FTQ (First Time Quality, Accurate - średni z linii)</t>
  </si>
  <si>
    <t>Realizacja Capacity</t>
  </si>
  <si>
    <t>ROTACJA MAGAZYNU - WYROBY GOTOWE</t>
  </si>
  <si>
    <t>DRFP - Brakowość wyrobów gotowych - Niezalegalizowane/ Wyprodukowane</t>
  </si>
  <si>
    <t>IDCI - Koszty braków wewnętrznych - TKW braków wewnętrznych (separatory + braki nienaprawialne)/ TKW produkcji</t>
  </si>
  <si>
    <t>PENALTIES</t>
  </si>
  <si>
    <t>Reklamacje wewnętrzne (PPM)</t>
  </si>
  <si>
    <t>Reklamacje zewnętrzne (PPM)</t>
  </si>
  <si>
    <t>TCPQ - Total cost of poor quality</t>
  </si>
  <si>
    <t>Koszty braków</t>
  </si>
  <si>
    <t>Koszty transportu out</t>
  </si>
  <si>
    <t>ROTACJA MAGAZYNU - MATERIAŁY</t>
  </si>
  <si>
    <t>ROTACJA MAGAZYNU - TOWARY</t>
  </si>
  <si>
    <t>ROTACJA MAGAZYNU - WIP</t>
  </si>
  <si>
    <t>Liczba nadgodzin</t>
  </si>
  <si>
    <t>Wielkość zatrudnienia (Full Time Equivalent Pracownicy Tymczasowi)</t>
  </si>
  <si>
    <t>Otwarte rekrutacje DL (number)</t>
  </si>
  <si>
    <t>KOSZT PRACY BEZPOŚREDNIO-PRODUKCYJNEJ</t>
  </si>
  <si>
    <t>KOSZT PRACY POŚREDNIO-PRODUKCYJNEJ</t>
  </si>
  <si>
    <t>Urlopy niewykorzystane (dni)</t>
  </si>
  <si>
    <t>Wykonanie CAPEX</t>
  </si>
  <si>
    <t>Koszty R&amp;D</t>
  </si>
  <si>
    <t>TPR Zaplanowane/ zrealizowane (JIRA)</t>
  </si>
  <si>
    <t>WARTOŚĆ ZAPASÓW</t>
  </si>
  <si>
    <t>CUSTOMER RETURNS (INTERNAL)</t>
  </si>
  <si>
    <t>Terminowość obsługi zamówień</t>
  </si>
  <si>
    <t>TERMINOWOŚĆ DOSTAW (średnia)</t>
  </si>
  <si>
    <t>Wskaźnik book/bill</t>
  </si>
  <si>
    <t>Koszt sprzedaży do wielkości sprzedaży</t>
  </si>
  <si>
    <t>Koszt wytworzenia/ Przychód</t>
  </si>
  <si>
    <t>TERMINOWE FAKTUROWANIE (MAX 24H)</t>
  </si>
  <si>
    <t>ŚREDNI CZAS REAKCJI NA OFERTĘ SPRZEDAŻOWĄ CZĘŚCI</t>
  </si>
  <si>
    <t>LICZBA ZLECEŃ SERWISOWYCH</t>
  </si>
  <si>
    <t>HEADCOUNT - PRACOWNICY BEZPOŚREDNIO-PRODUKCYJNi</t>
  </si>
  <si>
    <t>HEADCOUNT - PRACOWNICY POŚREDNIO-PRODUKCYJNi</t>
  </si>
  <si>
    <t>Narastająco realizacja CAPEX</t>
  </si>
  <si>
    <t>CZAS KRYTYCZNYCH PRZERW USŁUGI SYSTEMOWEJ (ERP ETC.)</t>
  </si>
  <si>
    <t>Wskaźnik przychodu na grupę produktową</t>
  </si>
  <si>
    <t>Obrazuje, jak skutecznie produkt generuje przychody w porównaniu do planowanych założeń.</t>
  </si>
  <si>
    <t>Customer Acquisition Cos</t>
  </si>
  <si>
    <t>(CAC): Koszt pozyskania nowego klienta dla produktu. Wskaźnik ten pomaga ocenić efektywność strategii marketingowych i sprzedażowych produktu.</t>
  </si>
  <si>
    <t>Czas wprowadzenia nowego produktu na rynek</t>
  </si>
  <si>
    <t>(Time to Market): Mierzy szybkość, z jaką zespół jest w stanie przejść od pomysłu do wdrożenia produktu na rynek. Krótszy czas wprowadzenia może być wskaźnikiem efektywnego zarządzania projektem.</t>
  </si>
  <si>
    <t>Marża brutto =(przychody ze sprzedaży - Koszty produkcji) /przychodzy ze sprzedaży x100%</t>
  </si>
  <si>
    <t>Wskaźnik ten mierzy rentowność zarządzanej grupy produktowej, wyrażoną jako różnica między przychodami ze sprzedaży a kosztem produkcji.</t>
  </si>
  <si>
    <t>Marża brutto zarządzanej grupy produktowej</t>
  </si>
  <si>
    <t>Revenue per Product = Całkowite przychody produktu</t>
  </si>
  <si>
    <t>CAC = Całkowite koszty marketingu i sprzedaży / Liczba po zyskanych klientów</t>
  </si>
  <si>
    <t>Time to Market = Data wprowadzenia na rynek − Data rozpoczęcia projektu</t>
  </si>
  <si>
    <t>j.w., dla sprzedaży eksportowej</t>
  </si>
  <si>
    <t>j.w., dla sprzedaży krajowej</t>
  </si>
  <si>
    <t>j.w., narastająco</t>
  </si>
  <si>
    <t>Wielkość sprzedaży netto odnosi się do całkowitych przychodów ze sprzedaży produktów lub usług po odjęciu wszelkich rabatów, zwrotów i skont. Jest to miara efektywności sprzedaży i pokazuje, ile firma zarobiła na sprzedaży po uwzględnieniu zniżek i korekt.</t>
  </si>
  <si>
    <t>Jak wyżej, dla eksportu</t>
  </si>
  <si>
    <t>Jak wyżej, dla sprzedaży krajowej</t>
  </si>
  <si>
    <t>Jak wyżej</t>
  </si>
  <si>
    <t>Wskaźnik, który mierzy, jak dobrze rzeczywista sprzedaż netto realizuje założenia budżetowe. Jest to wskaźnik wykorzystywany do oceny skuteczności zarządzania sprzedażą w kontekście zaplanowanych celów finansowych.</t>
  </si>
  <si>
    <t>WIELKOŚĆ SPRZEDAŻY NETTO (w odniesieniu do budżetu) = Sprzedaż rzeczywista / Sprzedaż netto budżetowana x100%</t>
  </si>
  <si>
    <t>WIELKOŚĆ SPRZEDAŻY NETTO (w odniesieniu do prognozy) = Sprzedaż rzeczywista / Sprzedaż netto prognozowana x100%</t>
  </si>
  <si>
    <t>Wskaźnik, który mierzy, jak dobrze rzeczywista sprzedaż netto realizuje założenia prognozy. Jest to wskaźnik wykorzystywany do oceny skuteczności zarządzania sprzedażą w kontekście zaplanowanych celów finansowych.</t>
  </si>
  <si>
    <t>Wskaźnik określający liczbę unikalnych klientów, którzy po raz pierwszy dokonali zakupu lub skorzystali z usług firmy w określonym okresie czasu. Jest to kluczowy wskaźnik w perspektywie klienta w ramach Balanced Scorecard (BSC), który odzwierciedla zdolność firmy do pozyskiwania nowych odbiorców swoich produktów lub usług.</t>
  </si>
  <si>
    <t>Liczba sprzedanych nowych wolumenów odnosi się do liczby nowych produktów po raz pierwszy w danym okresie, które nie są modyfikacjami ani ulepszeniami istniejących produktów. Ten wskaźnik koncentruje się na innowacyjnych lub zupełnie nowych propozycjach wartości w ofercie firmy, będących wynikiem rozwoju nowych produktów lub usług.</t>
  </si>
  <si>
    <t>Kryterium "nowego wolumenu" - produkt który został wprowadzony na rynek po raz pierwszy w danym okresie i nie jest modyfikacją istniejącego produktu (np. nowe warianty kolorystyczne, wersje rozwojowe produktu, itp. nie są uwzględniane)</t>
  </si>
  <si>
    <t>Liczba nowych klientów = Liczba unikalnych klient ów w okresie − Liczba klientów już istniejących
Kryterium "nowego klienta" - Klient, który dokonał pierwszego zakupu w danym okresie i nie figurował wcześniej w bazie klientów.</t>
  </si>
  <si>
    <t>wskaźnik mierzący łączną kwotę wydatków inwestycyjnych (CAPEX) poniesionych przez firmę w określonym okresie, obejmujących zakup aktywów trwałych, takich jak sprzęt, nieruchomości czy infrastruktura.</t>
  </si>
  <si>
    <t>Skumulowane CAPEX = ∑(Wydatki inwestycyjne w danym okresie)</t>
  </si>
  <si>
    <t>% REALIZACJI BUDŻETU INWESTYCYJNEGO - SKUMULOWANE</t>
  </si>
  <si>
    <t>wskaźnik pokazujący, w jakim stopniu skumulowane wydatki inwestycyjne (CAPEX) w danym okresie zostały zrealizowane w stosunku do skumulowanego budżetu inwestycyjnego.</t>
  </si>
  <si>
    <t>wskaźnik szacujący spodziewany zwrot z inwestycji przed jej realizacją. Jego celem jest ocena potencjalnej opłacalności inwestycji, zanim zostaną poniesione wydatki.</t>
  </si>
  <si>
    <t xml:space="preserve"> wskaźnik mierzący rzeczywisty zwrot z inwestycji po jej zakończeniu, na podstawie uzyskanych wyników finansowych. Służy do oceny efektywności poniesionych wydatków inwestycyjnych w porównaniu do uzyskanych korzyści.</t>
  </si>
  <si>
    <t>wskaźnik mierzący całkowitą liczbę rozpoczętych, realizowanych lub zakończonych projektów inwestycyjnych w danym okresie. Obejmuje wszystkie projekty związane z rozwojem, zakupem aktywów trwałych lub modernizacją istniejących zasobów.</t>
  </si>
  <si>
    <t>Liczba projektów inwestycyjnych</t>
  </si>
  <si>
    <t>wskaźnik mierzący, jaki procent rozpoczętych projektów inwestycyjnych zostało zakończonych zgodnie z założonymi terminami, budżetem i zakresem w danym okresie.</t>
  </si>
  <si>
    <t>Koszt wdrożeń vs budżet</t>
  </si>
  <si>
    <t>wskaźnik porównujący rzeczywiste koszty związane z realizacją wdrożeń (np. projektów inwestycyjnych, technologicznych) z planowanym budżetem przeznaczonym na te wdrożenia. Wskaźnik ten służy do oceny efektywności finansowej wdrożeń.</t>
  </si>
  <si>
    <t>Metoda liczenia</t>
  </si>
  <si>
    <t>Średnia marża = (Przychody ze sprzedaży - Koszty sprzedaży) / Przychody ze sprzedaży × 100</t>
  </si>
  <si>
    <t>Wielkość sprzedaży indywidualna = Całkowita wartość sprzedaży przypisana do indywidualnego klienta/produktu/usługi</t>
  </si>
  <si>
    <t>Liczba nowych wolumenów = Liczba nowych produktów lub usług wprowadzonych do sprzedaży w danym okresie</t>
  </si>
  <si>
    <t>Poziom otwartych zamówień = Łączna liczba zamówień niezrealizowanych w danym okresie</t>
  </si>
  <si>
    <t>Procent refakturowania narzędzi = (Wartość narzędzi zrefakturowanych / Wartość wszystkich narzędzi) × 100</t>
  </si>
  <si>
    <t>Sprzedaż indywidualna odnosi się do wielkości sprzedaży powiązanej z określonym klientem, produktem lub usługą.</t>
  </si>
  <si>
    <t>Średnia marża to różnica między przychodami ze sprzedaży a kosztami sprzedaży, wyrażona procentowo.</t>
  </si>
  <si>
    <t>Liczba nowych wolumenów to liczba nowych produktów lub usług wprowadzonych na rynek, bez modyfikacji istniejących.</t>
  </si>
  <si>
    <t>Procent refakturowania narzędzi mierzy udział narzędzi zrefakturowanych w stosunku do wszystkich używanych narzędzi.</t>
  </si>
  <si>
    <t>Poziom otwartych zamówień mierzy liczbę zamówień klientów, które nie zostały jeszcze zrealizowane.</t>
  </si>
  <si>
    <t>KOSZTY TRANSPORTU INBOUND</t>
  </si>
  <si>
    <t>wskaźnik finansowy mierzący, jak szybko przedsiębiorstwo reguluje swoje zobowiązania wobec dostawców. Pokazuje, ile razy w ciągu danego okresu firma spłaca swoje zobowiązania handlowe</t>
  </si>
  <si>
    <t>wskaźnik finansowy określający łączną wartość posiadanych przez firmę materiałów, surowców, produktów w toku oraz towarów gotowych do sprzedaży na dany moment.</t>
  </si>
  <si>
    <t>KONSUMPCJA MATERIAŁÓW</t>
  </si>
  <si>
    <t>wskaźnik finansowy mierzący wartość zużytych materiałów w procesie produkcji w danym okresie. Obejmuje surowce i materiały, które zostały przekształcone w produkty gotowe lub częściowo gotowe.</t>
  </si>
  <si>
    <t>bezpośrednio z raportów finansowych</t>
  </si>
  <si>
    <t>wskaźnik operacyjny mierzący, jaki procent zamówień jest realizowany zgodnie z ustalonymi terminami dostawy. Pokazuje, jak skutecznie firma spełnia zobowiązania wobec klientów w kontekście planowanej dostawy.</t>
  </si>
  <si>
    <t>wskaźnik operacyjny, który mierzy średni czas dostawy zamówień w stosunku do ustalonych terminów. Określa, jak dobrze firma dostosowuje się do planowanych harmonogramów dostaw, wskazując na efektywność logistyki i realizacji zamówień.</t>
  </si>
  <si>
    <t>Terminowość dostaw (średnia) = (∑(Czas rzeczywisty dostawy−Czas planowany dostawy)) / Liczba dostaw
​</t>
  </si>
  <si>
    <t>wskaźnik operacyjny mierzący łączny koszt transportu towarów, surowców lub komponentów od dostawców do zakładu produkcyjnego lub magazynu firmy.</t>
  </si>
  <si>
    <t>Koszty transportu inbound = Całkowity koszt transportu towarów do zakładu</t>
  </si>
  <si>
    <t>wskaźnik finansowy mierzący procentowy udział zaoszczędzonych kosztów związanych z zakupem materiałów, surowców lub usług w stosunku do planowanego budżetu zakupowego.</t>
  </si>
  <si>
    <t>wskaźnik mierzący stopień realizacji zadań w odniesieniu do planowanych zadań w systemie zarządzania projektami, takim jak JIRA. TPR (Task Performance Ratio) określa, jaka część zaplanowanych zadań została faktycznie zrealizowana w określonym czasie.</t>
  </si>
  <si>
    <t>2 tygodnie</t>
  </si>
  <si>
    <t>wskaźnik mierzący realizację planowanych nakładów inwestycyjnych (CAPEX) w stosunku do faktycznie poniesionych wydatków kapitałowych. CAPEX (Capital Expenditures) odnosi się do wydatków na nabycie lub modernizację długoterminowych aktywów firmy, takich jak budynki, maszyny czy technologie.</t>
  </si>
  <si>
    <t>wskaźnik finansowy mierzący, jak dobrze firma realizuje zaplanowany budżet zakupów w podziale na kategorie zakupowe, w odniesieniu do rzeczywistych, skonsolidowanych wydatków.</t>
  </si>
  <si>
    <t>Realizacja budżetu zakupów = Rzeczywiste wydatki w kategorii/Planowane wydatki w kategorii × 100%</t>
  </si>
  <si>
    <t>Wykonanie CAPEX = Rzeczywiste wydatki CAPEX / Zaplanowane wydatki CAPEX × 100%</t>
  </si>
  <si>
    <t>Terminowość obsługi zamówień = Liczba zamówień dostarczonych na czas / Całkowita liczba zamówień ×100%</t>
  </si>
  <si>
    <t>Rotacja zobowiązań = Zakupy od dostawców / Średnie zobowiązania handlowe</t>
  </si>
  <si>
    <t>Oszczędności zakupowe (%) =(Rzeczywisty koszt zakupów - Planowany koszt zakupów) / Planowany koszt zakupów ×100%</t>
  </si>
  <si>
    <t>TPR = Liczba zrealizowanych zadań / Liczba zaplanowanych zadań x 100%</t>
  </si>
  <si>
    <t>Koszt wdrożeń vs budżet =(Rzeczywisty koszt wdrożeń / Planowany budżet wdrożeń)×100</t>
  </si>
  <si>
    <t>%Realizacji projektów inwestycyjnych = (Liczba zakończonych projektów zgodnie z planem / Całkowita liczba projektów inwestycyjnych w danym okresie)×100</t>
  </si>
  <si>
    <t>ROI post-inwestycyjne =( Rzeczywisty zysk netto z inwestycji / Rzeczywisy koszty inwestycji )×100</t>
  </si>
  <si>
    <t>ROI pre-inwestycyjne =(Prognozowany zysk netto z inwestycji / Szacowane koszty inwestycji)×100</t>
  </si>
  <si>
    <t>%Realizacji budżetu inwestycyjnego - skumulowane = (Skumulowane wydatki inwestycyjne / Skumulowany budżet inwestycyjny)×100</t>
  </si>
  <si>
    <t>wskaźnik logistyczny, który mierzy, jaki procent zamówień został dostarczony zgodnie z ustalonym harmonogramem (na czas) i w pełnej zamówionej ilości (in-full). OTIF ocenia zdolność firmy do spełniania wymagań klientów dotyczących terminowości i kompletności dostaw.</t>
  </si>
  <si>
    <t>OTIF (%) = Liczba zamówień dostarczonych na czas i w pełnej ilości / Całkowita liczba zamówień ×100%</t>
  </si>
  <si>
    <t>wskaźnik mierzący ilość nowych klientów pozyskanych przez firmę w określonym czasie. Odzwierciedla zdolność firmy do przyciągania nowych odbiorców i poszerzania bazy klientów.</t>
  </si>
  <si>
    <t>Liczba nowych klientów = Klienci pozyskani w danym okresie</t>
  </si>
  <si>
    <t>wskaźnik mierzący stopień zadowolenia klientów z produktów, usług lub ogólnej współpracy z firmą. Jest to kluczowy wskaźnik jakości obsługi klienta i lojalności klientów wobec firmy.</t>
  </si>
  <si>
    <t>Nie ma uniwersalnego wzoru, jednak poziom satysfakcji klientów często mierzy się za pomocą ankiet (np. Net Promoter Score - NPS), które pytają klientów o ich poziom zadowolenia na skali punktowej.
NPS = %promotorów − %krytyków</t>
  </si>
  <si>
    <t>wskaźnik mierzący liczbę projektów lub produktów, które zostały wdrożone z pełną zgodnością z wymogami jakościowymi już za pierwszym razem, bez konieczności poprawek czy dodatkowych działań.</t>
  </si>
  <si>
    <t>FTQ = Liczba projekt ów wdrożonych bez poprawek / Całkowita liczba wdrożonych projektów ×100%</t>
  </si>
  <si>
    <t>wskaźnik finansowy mierzący wartość zobowiązań klientów wobec firmy, które nie zostały uregulowane w ciągu 7 dni od ustalonego terminu płatności.</t>
  </si>
  <si>
    <t>Należności przeterminowane powyżej 7 dni = Wartość przeterminowanych należności powyżej 7 dni / Całkowita wartość należności ×100%</t>
  </si>
  <si>
    <t>wskaźnik logistyczny monitorujący, jak skutecznie firma utrzymuje zapasy palet w magazynie, zapewniając, że ich liczba nie przekracza ustalonego limitu o więcej niż 5%.</t>
  </si>
  <si>
    <t>Stan magazynu palet = Średnia liczba palet w magazynie / Ustalony limit palet ×100%</t>
  </si>
  <si>
    <t>Wielkość portfela zamówień</t>
  </si>
  <si>
    <t>wskaźnik mierzący łączną wartość, które firma posiada w danym okresie, ale jeszcze nie zostały zrealizowane. Jest to kluczowy wskaźnik prognozujący przyszłe przychody i poziom obciążenia produkcji lub logistyki.</t>
  </si>
  <si>
    <t>Wielkość portfela zamówień =∑wartość wszystkich otwartych zamówień</t>
  </si>
  <si>
    <t>wskaźnik mierzący stosunek wartości nowych zamówień (bookings) do fakturowanych sprzedaży (billings) w danym okresie. Używany jest do oceny dynamiki sprzedaży oraz przyszłych perspektyw finansowych przedsiębiorstwa.</t>
  </si>
  <si>
    <t>Wskaźnik book/bill = Wartość nowych zamówień / Wartość fakturowanych sprzedaży 
​</t>
  </si>
  <si>
    <t>wskaźnik finansowy określający, jaki procent przychodów ze sprzedaży stanowi koszt uzyskania tej sprzedaży (czyli koszt sprzedanych towarów lub usług - COGS). Używany jest do oceny rentowności działalności operacyjnej przedsiębiorstwa.</t>
  </si>
  <si>
    <t>wskaźnik finansowy, który mierzy stosunek kosztów wytworzenia produktów lub usług (czyli kosztów operacyjnych związanych z produkcją) do uzyskanych przychodów ze sprzedaży tych produktów lub usług. Służy do oceny efektywności kosztowej przedsiębiorstwa.</t>
  </si>
  <si>
    <t>Koszt wytworzenia/Przychód = Koszt wytworzenia produktów / Przychód ze sprzedaży ×100%</t>
  </si>
  <si>
    <t>Koszt sprzedaż y do wielkości sprzedaży = Koszt sprzedanych towarów (COGS) / Przychody ze sprzedaży ×100%</t>
  </si>
  <si>
    <t>wskaźnik operacyjny mierzący, jak skutecznie firma wystawia faktury w ciągu maksymalnie 24 godzin od dostarczenia towaru lub zakończenia usługi. Służy do oceny efektywności procesów księgowych i fakturowania.</t>
  </si>
  <si>
    <t>Terminowe fakturowanie (%) = Liczba faktur wystawionych w ciągu 24h / Całkowita liczba faktur ×100%</t>
  </si>
  <si>
    <t>Liczba błędów zgłaszanych przez klientów po wdrożeniu produktu</t>
  </si>
  <si>
    <t>wskaźnik jakościowy mierzący ilość problemów, wad lub niezgodności zgłoszonych przez klientów po wprowadzeniu produktu na rynek lub jego implementacji. Służy do oceny jakości produktu oraz efektywności procesu wdrożenia.</t>
  </si>
  <si>
    <t>wskaźnik mierzący całkowitą liczbę zleceń serwisowych, które firma realizuje w danym okresie. Może obejmować zarówno zaplanowane działania konserwacyjne, jak i zlecenia wynikające z awarii lub problemów zgłoszonych przez klientów.</t>
  </si>
  <si>
    <t>wskaźnik operacyjny, który mierzy średni czas, jaki firma potrzebuje, aby odpowiedzieć na zapytanie ofertowe dotyczące sprzedaży części zamiennych lub komponentów. Wskaźnik ten odnosi się do efektywności obsługi klienta i sprzedaży.</t>
  </si>
  <si>
    <t>wskaźnik finansowy, który mierzy wydatki firmy na badania i rozwój nowych produktów, technologii lub procesów. Odzwierciedla poziom inwestycji firmy w innowacje i rozwój nowych rozwiązań.</t>
  </si>
  <si>
    <t>wskaźnik mierzący liczbę wewnętrznych inicjatyw optymalizacyjnych, które mają na celu poprawę oferty lub obsługi klienta zgodnie z zasadami Kaizen – ciągłego doskonalenia. Wskaźnik ten monitoruje działania mające na celu zwiększenie efektywności, wartości oferty oraz zadowolenia klientów.</t>
  </si>
  <si>
    <t>∑Zrealizowane inicjatywy optymalizacyjne w danym okresie</t>
  </si>
  <si>
    <t>wskaźnik mierzący wydatki ponoszone przez firmę na przechowywanie towarów lub materiałów w zewnętrznych magazynach, które nie są własnością firmy. Obejmuje opłaty za wynajem przestrzeni magazynowej, obsługę logistyczną oraz dodatkowe koszty związane z zewnętrznym składowaniem.</t>
  </si>
  <si>
    <t>Koszty magazynowania zewnętrznego=∑Koszty wynajmu magazynu, obsługi i związanych usług w danym okresie</t>
  </si>
  <si>
    <t>wskaźnik mierzący rozbieżności między faktycznym stanem palet w magazynie a stanem wykazanym w systemie ewidencyjnym firmy. Różnice mogą wynikać z błędów w księgowości, uszkodzeń, kradzieży lub nieprawidłowej obsługi magazynu.</t>
  </si>
  <si>
    <t>Różnice inwentaryzacyjne palet = Stan systemowy palet − Stan faktyczny palet</t>
  </si>
  <si>
    <t>ROTACJA MAGAZYNU - RAZEM</t>
  </si>
  <si>
    <t>wskaźnik mierzący rozbieżności między faktycznym stanem magazynowym wyrobów gotowych a danymi zapisanymi w systemie ewidencyjnym. Różnice te mogą wynikać z błędów w księgowości, uszkodzeń produktów, strat podczas transportu lub magazynowania, a także nieprawidłowości w zarządzaniu zapasami.</t>
  </si>
  <si>
    <t>Różnice inwentaryzacyjne = Stan systemowy  − Stan faktyczny</t>
  </si>
  <si>
    <t>wskaźnik logistyczny mierzący, jak często całkowite zapasy magazynowe są wymieniane (sprzedawane lub zużywane) w danym okresie. Odzwierciedla efektywność zarządzania zapasami oraz tempo, w jakim towary lub surowce opuszczają magazyn.</t>
  </si>
  <si>
    <t>wskaźnik logistyczny mierzący, jak często materiały magazynowane w firmie są zużywane lub wymieniane w danym okresie. Wskaźnik ten odzwierciedla efektywność zarządzania materiałami w magazynie.</t>
  </si>
  <si>
    <t>wskaźnik logistyczny mierzący, jak często towary magazynowane przez firmę są sprzedawane i wymieniane w danym okresie. Wskaźnik ten pokazuje, jak efektywnie firma zarządza zapasami gotowych towarów.</t>
  </si>
  <si>
    <t>wskaźnik mierzący, jak często zapasy produktów w trakcie produkcji (Work in Progress - WIP) są przekształcane w gotowe produkty w danym okresie. Wskaźnik ten pozwala ocenić efektywność zarządzania procesem produkcyjnym.</t>
  </si>
  <si>
    <t>Rotacja WIP= Koszt produktów przetworzonych / Średnia wartość zapasów WIP​</t>
  </si>
  <si>
    <t>Rotacja towarów = Koszt sprzedanych towarów / średnia wartość zapasu towarów</t>
  </si>
  <si>
    <t>Rotacja materiałów = Koszt zużytych materiałów / średnia wartość zapasu materiałów</t>
  </si>
  <si>
    <t>Rotacja magazynu = Koszt sprzedanych towarów i zużytych materiałów / średnia wartość zapasów</t>
  </si>
  <si>
    <t>wskaźnik odnosi się do efektywności zarządzania zapasami wyrobów gotowych w magazynie. Mierzy, jak często zapasy wyrobów gotowych są zużywane lub sprzedawane i zastępowane nowymi w określonym okresie.</t>
  </si>
  <si>
    <t>Rotacja magazynu wyrobóww gotowych = Koszt Sprzedaży Wyrobów Gotowych / Średni stan magazynowy wyrobów gotowych​</t>
  </si>
  <si>
    <t>Koszty transportu in (zdublowane w zakupach)</t>
  </si>
  <si>
    <t>odnosi się do kosztów związanych z transportem wyrobów gotowych do klientów lub innych punktów dystrybucji. Mierzy, jak efektywnie zarządzane są koszty logistyczne związane z dostarczaniem produktów.</t>
  </si>
  <si>
    <t>Koszty transportu outbound = Całkowity koszt transportu wyrobów do klientów</t>
  </si>
  <si>
    <t>Opóźnienia w realizacji zamówień</t>
  </si>
  <si>
    <t>mierzy wartość zamówień, które nie zostały dostarczone w określonym terminie, co może wpływać na satysfakcję klientów, reputację firmy oraz wyniki finansowe.</t>
  </si>
  <si>
    <t>Opóźnienia w realizacji zamówień (k PLN) = Wartość zamówień opóźnionych ×100 / Całkowita wartość zamówień ×100</t>
  </si>
  <si>
    <t>Wielkość sprzedaży netto = Przychody brutto − Rabaty − Zwroty − Skonta
Bezpośrednio ze sprawozdań finansowych</t>
  </si>
  <si>
    <t>mierzy łączną wartość finansową zgłoszonych reklamacji od klientów, co może sygnalizować poziom zadowolenia klientów oraz jakość dostarczanych produktów lub usług.</t>
  </si>
  <si>
    <t>ŚREDNI CZAS ODPOWIEDZI NA REKLAMACJE KLIENTA</t>
  </si>
  <si>
    <t>wskaźnik mierzy, jak dużo czasu firma potrzebuje, aby udzielić pełnej odpowiedzi na zgłoszoną reklamację klienta. Jest to kluczowy wskaźnik w zarządzaniu obsługą klienta, wpływający na poziom satysfakcji oraz wizerunek firmy.</t>
  </si>
  <si>
    <t xml:space="preserve">Średni czas odpowiedzi = Suma czasu odpowiedzi na reklamacje / Liczba rozpatrzonych reklamacji
​
 </t>
  </si>
  <si>
    <t>Wskaźnik mierzy stopień realizacji zaplanowanych audytów wewnętrznych w stosunku do zaplanowanej liczby audytów.</t>
  </si>
  <si>
    <t>Wskaźnik monitoruje ponowne certyfikowanie produktów lub systemów po okresie ważności certyfikatu.</t>
  </si>
  <si>
    <t>Monitorowanie liczby ponownych certyfikacji w stosunku do całkowitej liczby wymaganych certyfikacji.</t>
  </si>
  <si>
    <t>Wskaźnik wyraża procent wyrobów gotowych, które nie spełniają wymagań i nie zostały zalegalizowane w stosunku do całkowitej liczby wyprodukowanych.</t>
  </si>
  <si>
    <t>Wskaźnik mierzy stosunek kosztów braków wewnętrznych do całkowitego kosztu wyprodukowanych towarów (TKW).</t>
  </si>
  <si>
    <t>Suma kosztów związanych z brakiem jakości (w produkcji; reklamacjach; naprawach; etc.)</t>
  </si>
  <si>
    <t>Wskaźnik mierzy całkowity koszt niskiej jakości, w tym koszty związane z brakiem jakości w produkcji i usługach.</t>
  </si>
  <si>
    <t>Wskaźnik mierzy liczbę zwrotów wewnętrznych produktów od klientów w danym okresie.</t>
  </si>
  <si>
    <t>Liczba przeprowadzonych audytów / Liczba zaplanowanych audytów) * 100</t>
  </si>
  <si>
    <t>Liczba wyrobów nielegalizowanych / Liczba wyprodukowanych wyrobów) * 100</t>
  </si>
  <si>
    <t>Koszty braków wewnętrznych / TKW produkcji) * 100</t>
  </si>
  <si>
    <t>Liczba zwrotów wewnętrznych / Liczba sprzedanych produktów) * 100</t>
  </si>
  <si>
    <t>Suma kar finansowych nałożonych w danym okresie</t>
  </si>
  <si>
    <t>Wskaźnik mierzy liczbę reklamacji wewnętrznych wyrażonych w częściach na milion (PPM) w odniesieniu do całkowitej produkcji.</t>
  </si>
  <si>
    <t>Wskaźnik mierzy liczbę reklamacji zewnętrznych wyrażonych w częściach na milion (PPM) w odniesieniu do liczby sprzedanych produktów.</t>
  </si>
  <si>
    <t>Liczba reklamacji wewnętrznych / Całkowita produkcja * 1,000,000</t>
  </si>
  <si>
    <t>Liczba reklamacji zewnętrznych / Liczba sprzedanych produktów * 1,000,000</t>
  </si>
  <si>
    <t>Średni czas od zgłoszenia do podjęcia pierwszej akcji.</t>
  </si>
  <si>
    <t>Wskaźnik mierzy średni czas reakcji na zgłoszenia ticketowe (np. problemy techniczne, awarie).</t>
  </si>
  <si>
    <t>Czas trwania przerw krytycznych / Całkowity czas pracy systemu * 100</t>
  </si>
  <si>
    <t>Wskaźnik monitoruje czas trwania krytycznych przerw w dostępie do kluczowych systemów, takich jak ERP.</t>
  </si>
  <si>
    <t>Suma wszystkich zgłoszeń do IT w danym okresie.</t>
  </si>
  <si>
    <t>Wskaźnik mierzy liczbę zgłoszeń do działu IT w danym okresie.</t>
  </si>
  <si>
    <t>Liczba zgłoszeń rozwiązanych w terminie / Liczba wszystkich zgłoszeń * 100</t>
  </si>
  <si>
    <t>Wskaźnik mierzy procent zgłoszeń rozwiązanych w terminie w stosunku do wszystkich zgłoszeń.</t>
  </si>
  <si>
    <t>Wskaźnik mierzy całkowity koszt pracy pracowników bezpośrednio zaangażowanych w produkcję.</t>
  </si>
  <si>
    <t>Wskaźnik mierzy całkowity koszt pracy pracowników pośrednio zaangażowanych w proces produkcji.</t>
  </si>
  <si>
    <t>Wskaźnik mierzy liczbę pracowników bezpośrednio zaangażowanych w produkcję.</t>
  </si>
  <si>
    <t>Wskaźnik mierzy liczbę pracowników pośrednio zaangażowanych w proces produkcji.</t>
  </si>
  <si>
    <t>Wskaźnik mierzy poziom absencji pracowników w stosunku do całkowitego czasu pracy.</t>
  </si>
  <si>
    <t>Wskaźnik mierzy odsetek pracowników, którzy opuścili firmę w danym okresie.</t>
  </si>
  <si>
    <t>Wskaźnik mierzy procent wykorzystanych urlopów w stosunku do całkowitej liczby dostępnych urlopów.</t>
  </si>
  <si>
    <t>Wskaźnik mierzy liczbę dni niewykorzystanych urlopów na koniec okresu.</t>
  </si>
  <si>
    <t>Wskaźnik mierzy całkowitą liczbę nadgodzin przepracowanych przez pracowników.</t>
  </si>
  <si>
    <t>Wskaźnik mierzy liczbę pełnych etatów (FTE) pracowników tymczasowych.</t>
  </si>
  <si>
    <t>Wskaźnik mierzy liczbę otwartych rekrutacji na stanowiska DL (Direct Labor).</t>
  </si>
  <si>
    <t>Suma kosztów wynagrodzeń pracowników bezpośrednio-produkcyjnych w danym okresie.</t>
  </si>
  <si>
    <t>Suma kosztów wynagrodzeń pracowników pośrednio-produkcyjnych w danym okresie.</t>
  </si>
  <si>
    <t>Liczba pracowników bezpośrednio zaangażowanych w produkcję.</t>
  </si>
  <si>
    <t>Liczba pracowników pośrednio zaangażowanych w produkcję.</t>
  </si>
  <si>
    <t>Liczba dni/ godzin absencji / Całkowita liczba dni/godzin pracy * 100</t>
  </si>
  <si>
    <t>Liczba pracowników, którzy opuścili firmę / Średnia liczba pracowników * 100</t>
  </si>
  <si>
    <t>Liczba dni/godzin wykorzystanych urlopów / Całkowita liczba dostępnych dni/godzin urlopów * 100</t>
  </si>
  <si>
    <t>Liczba dni niewykorzystanych urlopów na koniec okresu.</t>
  </si>
  <si>
    <t>Liczba nadgodzin przepracowanych przez pracowników w danym okresie.</t>
  </si>
  <si>
    <t>Liczba pełnych etatów (FTE) pracowników tymczasowych.</t>
  </si>
  <si>
    <t>Liczba otwartych rekrutacji na stanowiska DL (Direct Labor).</t>
  </si>
  <si>
    <t>Liczba raportów przygotowanych na czas / Liczba raportów planowanych * 100</t>
  </si>
  <si>
    <t>Wskaźnik mierzy terminowość przygotowania raportów finansowych zgodnie z ustalonym harmonogramem.</t>
  </si>
  <si>
    <t>Liczba raportów dostarczonych na czas / Liczba wymaganych raportów * 100</t>
  </si>
  <si>
    <t>Wskaźnik mierzy terminowość dostarczania raportów wynikowych, marżowych oraz urzędowych zgodnie z wymaganiami.</t>
  </si>
  <si>
    <t>Liczba raportów SSE rozliczonych na czas / Liczba raportów planowanych * 100</t>
  </si>
  <si>
    <t>Wskaźnik mierzy terminowość rozliczania raportów SSE (Specjalna Strefa Ekonomiczna).</t>
  </si>
  <si>
    <t>Zysk operacyjny + Amortyzacja</t>
  </si>
  <si>
    <t>Wskaźnik mierzy wynik operacyjny przed potrąceniem odsetek, podatków i amortyzacji.</t>
  </si>
  <si>
    <t>Całkowite koszty ogólne poniesione przez zarząd w danym okresie.</t>
  </si>
  <si>
    <t>Wskaźnik mierzy całkowite koszty poniesione na ogólne zarządzanie firmą.</t>
  </si>
  <si>
    <t>Przychody ze sprzedaży - Koszty bezpośrednie</t>
  </si>
  <si>
    <t>Wskaźnik mierzy różnicę pomiędzy przychodami ze sprzedaży a kosztami bezpośrednimi produkcji.</t>
  </si>
  <si>
    <t>Przychody - Koszty - Podatki</t>
  </si>
  <si>
    <t>Wskaźnik mierzy całkowity zysk netto po potrąceniu kosztów i podatków.</t>
  </si>
  <si>
    <t>Aktywa obrotowe - Zobowiązania bieżące</t>
  </si>
  <si>
    <t>Wskaźnik mierzy różnicę pomiędzy aktywami obrotowymi a zobowiązaniami bieżącymi.</t>
  </si>
  <si>
    <t>Wartość należności od klientów na koniec okresu.</t>
  </si>
  <si>
    <t>Wskaźnik mierzy wartość należności od klientów w danym okresie.</t>
  </si>
  <si>
    <t>Wartość zobowiązań na koniec okresu.</t>
  </si>
  <si>
    <t>Wskaźnik mierzy wartość zobowiązań firmy w danym okresie.</t>
  </si>
  <si>
    <t>Całkowita liczba wyprodukowanych towarów w danym okresie.</t>
  </si>
  <si>
    <t>Wskaźnik mierzy całkowitą wielkość wyprodukowanych towarów w danym okresie.</t>
  </si>
  <si>
    <t>Całkowita dostępność x Wydajność x Jakość dla całego zakładu.</t>
  </si>
  <si>
    <t>Wskaźnik mierzy średnią efektywność wykorzystania maszyn i urządzeń na poziomie całego zakładu.</t>
  </si>
  <si>
    <t>Całkowita dostępność x Wydajność x Jakość na kluczowych stanowiskach.</t>
  </si>
  <si>
    <t>Wskaźnik mierzy efektywność operacyjną na kluczowych stanowiskach produkcyjnych.</t>
  </si>
  <si>
    <t>Liczba ton/m3 odpadu produkcyjnego / Całkowita produkcja x 100</t>
  </si>
  <si>
    <t>Wskaźnik mierzy ilość odpadu produkcyjnego w stosunku do całkowitej produkcji.</t>
  </si>
  <si>
    <t>Suma wartości nadgodzin płatnych w danym okresie.</t>
  </si>
  <si>
    <t>Wskaźnik mierzy całkowitą wartość nadgodzin płatnych pracowników.</t>
  </si>
  <si>
    <t>Wskaźnik mierzy liczbę pracowników pośrednio zaangażowanych w produkcję.</t>
  </si>
  <si>
    <t>Wartość zamówień zaległych / Całkowita wartość zamówień x 100</t>
  </si>
  <si>
    <t>Wskaźnik mierzy poziom zaległości produkcyjnych w stosunku do zamówień.</t>
  </si>
  <si>
    <t>Liczba wyrobów gotowych przekazanych do magazynu / Planowana produkcja x 100</t>
  </si>
  <si>
    <t>Wskaźnik mierzy stopień realizacji planu produkcji na podstawie liczby wyrobów gotowych.</t>
  </si>
  <si>
    <t>Liczba dostaw terminowych / Całkowita liczba dostaw x 100</t>
  </si>
  <si>
    <t>Wskaźnik mierzy terminowość dostaw produktów zgodnie z zasadą On-Time In-Full.</t>
  </si>
  <si>
    <t>Liczba produktów spełniających wymogi jakościowe za pierwszym razem / Całkowita produkcja x 100</t>
  </si>
  <si>
    <t>Wskaźnik mierzy jakość produkcji na podstawie wskaźnika First Time Quality.</t>
  </si>
  <si>
    <t>Wydajność rzeczywista / Wydajność planowana x 100</t>
  </si>
  <si>
    <t>Wskaźnik mierzy stopień realizacji planowanej wydajności produkcyjnej (capacity).</t>
  </si>
  <si>
    <t>Całkowite koszty braków produkcyjnych w danym okresie.</t>
  </si>
  <si>
    <t>Wskaźnik mierzy całkowite koszty związane z brakami produkcyjnymi.</t>
  </si>
  <si>
    <t>Liczba wypadków zarejestrowanych w danym okresie.</t>
  </si>
  <si>
    <t>Wskaźnik mierzy liczbę wypadków w zakładzie w danym okresie.</t>
  </si>
  <si>
    <t>Całkowity czas trwania awarii w godzinach.</t>
  </si>
  <si>
    <t>Liczba zarejestrowanych awarii w danym okresie.</t>
  </si>
  <si>
    <t>Łączna kwota wydatków poniesionych na utrzymanie ruchu w danym okresie.</t>
  </si>
  <si>
    <t>Suma zrealizowanych godzin przeznaczonych na przeglądy prewencyjne w danym okresie.</t>
  </si>
  <si>
    <t>Suma zużycia gazu w m3 w danym okresie.</t>
  </si>
  <si>
    <t>Suma zużycia energii elektrycznej w kWh w danym okresie.</t>
  </si>
  <si>
    <t>Suma zużycia energii cieplnej w GJ w danym okresie.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</si>
</sst>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 &quot;zł&quot;_-;\-* #,##0.00\ &quot;zł&quot;_-;_-* &quot;-&quot;??\ &quot;zł&quot;_-;_-@_-"/>
    <numFmt numFmtId="165" formatCode="_-* #,##0.00_-;\-* #,##0.00_-;_-* &quot;-&quot;??_-;_-@_-"/>
    <numFmt numFmtId="166" formatCode="[$-409]d/mmm/yyyy;@"/>
    <numFmt numFmtId="167" formatCode="[$-415]mmmm\ yy;@"/>
    <numFmt numFmtId="168" formatCode="[$-409]mmmm/yy;@"/>
    <numFmt numFmtId="169" formatCode="0.0%"/>
    <numFmt numFmtId="170" formatCode="_-* #,##0_-;\-* #,##0_-;_-* &quot;-&quot;??_-;_-@_-"/>
    <numFmt numFmtId="171" formatCode="_-* #,##0\ &quot;zł&quot;_-;\-* #,##0\ &quot;zł&quot;_-;_-* &quot;-&quot;??\ &quot;zł&quot;_-;_-@_-"/>
    <numFmt numFmtId="172" formatCode="#,##0.00\ &quot;zł&quot;"/>
  </numFmts>
  <fonts count="47">
    <font>
      <sz val="11"/>
      <color theme="1"/>
      <name val="Calibri"/>
      <family val="2"/>
      <charset val="238"/>
      <scheme val="minor"/>
    </font>
    <font>
      <sz val="12"/>
      <color theme="1"/>
      <name val="Calibri"/>
      <family val="2"/>
      <charset val="238"/>
      <scheme val="minor"/>
    </font>
    <font>
      <sz val="11"/>
      <color theme="1"/>
      <name val="Calibri"/>
      <family val="2"/>
      <charset val="238"/>
      <scheme val="minor"/>
    </font>
    <font>
      <b/>
      <sz val="11"/>
      <color theme="1"/>
      <name val="Calibri"/>
      <family val="2"/>
      <charset val="238"/>
      <scheme val="minor"/>
    </font>
    <font>
      <sz val="10"/>
      <name val="MS Sans Serif"/>
      <family val="2"/>
      <charset val="238"/>
    </font>
    <font>
      <b/>
      <sz val="20"/>
      <name val="Calibri"/>
      <family val="2"/>
      <charset val="238"/>
    </font>
    <font>
      <b/>
      <sz val="12"/>
      <name val="Calibri"/>
      <family val="2"/>
      <charset val="238"/>
    </font>
    <font>
      <sz val="12"/>
      <name val="Calibri"/>
      <family val="2"/>
      <charset val="238"/>
    </font>
    <font>
      <sz val="10"/>
      <name val="Arial CE"/>
      <charset val="238"/>
    </font>
    <font>
      <sz val="10"/>
      <name val="Tahoma"/>
      <family val="2"/>
      <charset val="238"/>
    </font>
    <font>
      <sz val="10"/>
      <name val="Arial"/>
      <family val="2"/>
      <charset val="238"/>
    </font>
    <font>
      <b/>
      <sz val="22"/>
      <name val="Calibri"/>
      <family val="2"/>
      <charset val="238"/>
    </font>
    <font>
      <b/>
      <sz val="16"/>
      <name val="Calibri"/>
      <family val="2"/>
      <charset val="238"/>
    </font>
    <font>
      <sz val="12"/>
      <color indexed="8"/>
      <name val="Calibri"/>
      <family val="2"/>
      <charset val="238"/>
    </font>
    <font>
      <b/>
      <sz val="16"/>
      <color theme="0"/>
      <name val="Calibri"/>
      <family val="2"/>
      <charset val="238"/>
    </font>
    <font>
      <b/>
      <sz val="8"/>
      <name val="Calibri"/>
      <family val="2"/>
      <charset val="238"/>
    </font>
    <font>
      <b/>
      <sz val="18"/>
      <color indexed="8"/>
      <name val="Calibri"/>
      <family val="2"/>
      <charset val="238"/>
      <scheme val="minor"/>
    </font>
    <font>
      <b/>
      <sz val="12"/>
      <color indexed="8"/>
      <name val="Calibri"/>
      <family val="2"/>
      <charset val="238"/>
      <scheme val="minor"/>
    </font>
    <font>
      <b/>
      <sz val="12"/>
      <color theme="1"/>
      <name val="Calibri"/>
      <family val="2"/>
      <charset val="238"/>
      <scheme val="minor"/>
    </font>
    <font>
      <b/>
      <sz val="16"/>
      <color indexed="8"/>
      <name val="Calibri"/>
      <family val="2"/>
      <charset val="238"/>
      <scheme val="minor"/>
    </font>
    <font>
      <sz val="14"/>
      <color theme="1"/>
      <name val="Calibri"/>
      <family val="2"/>
      <scheme val="minor"/>
    </font>
    <font>
      <sz val="12"/>
      <color indexed="8"/>
      <name val="Calibri"/>
      <family val="2"/>
      <charset val="238"/>
      <scheme val="minor"/>
    </font>
    <font>
      <sz val="12"/>
      <name val="Calibri"/>
      <family val="2"/>
      <charset val="238"/>
      <scheme val="minor"/>
    </font>
    <font>
      <b/>
      <sz val="12"/>
      <name val="Calibri"/>
      <family val="2"/>
      <charset val="238"/>
      <scheme val="minor"/>
    </font>
    <font>
      <u/>
      <sz val="11"/>
      <color theme="10"/>
      <name val="Calibri"/>
      <family val="2"/>
      <charset val="238"/>
      <scheme val="minor"/>
    </font>
    <font>
      <sz val="12"/>
      <color theme="0" tint="-4.9989318521683403E-2"/>
      <name val="Calibri"/>
      <family val="2"/>
      <charset val="238"/>
      <scheme val="minor"/>
    </font>
    <font>
      <b/>
      <sz val="11"/>
      <name val="Calibri"/>
      <family val="2"/>
      <charset val="238"/>
      <scheme val="minor"/>
    </font>
    <font>
      <b/>
      <sz val="10"/>
      <color theme="1"/>
      <name val="Calibri"/>
      <family val="2"/>
      <charset val="238"/>
      <scheme val="minor"/>
    </font>
    <font>
      <sz val="10"/>
      <color theme="1"/>
      <name val="Calibri"/>
      <family val="2"/>
      <charset val="238"/>
      <scheme val="minor"/>
    </font>
    <font>
      <sz val="10"/>
      <name val="Calibri"/>
      <family val="2"/>
      <charset val="238"/>
      <scheme val="minor"/>
    </font>
    <font>
      <sz val="11"/>
      <name val="Calibri"/>
      <family val="2"/>
      <scheme val="minor"/>
    </font>
    <font>
      <b/>
      <sz val="9"/>
      <color indexed="81"/>
      <name val="Tahoma"/>
      <family val="2"/>
      <charset val="238"/>
    </font>
    <font>
      <sz val="11"/>
      <color theme="1"/>
      <name val="Calibri"/>
      <family val="2"/>
      <scheme val="minor"/>
    </font>
    <font>
      <b/>
      <sz val="16"/>
      <color theme="9" tint="-0.249977111117893"/>
      <name val="Calibri"/>
      <family val="2"/>
      <charset val="238"/>
      <scheme val="minor"/>
    </font>
    <font>
      <b/>
      <sz val="14"/>
      <color rgb="FFFF0000"/>
      <name val="Calibri"/>
      <family val="2"/>
      <charset val="238"/>
      <scheme val="minor"/>
    </font>
    <font>
      <b/>
      <sz val="16"/>
      <name val="Calibri"/>
      <family val="2"/>
      <charset val="238"/>
      <scheme val="minor"/>
    </font>
    <font>
      <sz val="20"/>
      <name val="Tahoma"/>
      <family val="2"/>
      <charset val="238"/>
    </font>
    <font>
      <sz val="20"/>
      <color theme="1"/>
      <name val="Calibri"/>
      <family val="2"/>
      <charset val="238"/>
      <scheme val="minor"/>
    </font>
    <font>
      <sz val="20"/>
      <color indexed="8"/>
      <name val="Calibri"/>
      <family val="2"/>
      <charset val="238"/>
    </font>
    <font>
      <b/>
      <sz val="20"/>
      <color rgb="FFFF0000"/>
      <name val="Calibri"/>
      <family val="2"/>
      <charset val="238"/>
      <scheme val="minor"/>
    </font>
    <font>
      <b/>
      <sz val="20"/>
      <color indexed="8"/>
      <name val="Calibri"/>
      <family val="2"/>
      <charset val="238"/>
      <scheme val="minor"/>
    </font>
    <font>
      <b/>
      <sz val="20"/>
      <name val="Calibri"/>
      <family val="2"/>
      <charset val="238"/>
      <scheme val="minor"/>
    </font>
    <font>
      <sz val="8"/>
      <name val="Calibri"/>
      <family val="2"/>
      <charset val="238"/>
      <scheme val="minor"/>
    </font>
    <font>
      <b/>
      <sz val="22"/>
      <color theme="1"/>
      <name val="Calibri"/>
      <family val="2"/>
    </font>
    <font>
      <b/>
      <sz val="14"/>
      <color theme="1"/>
      <name val="Calibri"/>
      <family val="2"/>
      <scheme val="minor"/>
    </font>
    <font>
      <b/>
      <sz val="18"/>
      <color theme="1"/>
      <name val="Calibri"/>
      <family val="2"/>
      <scheme val="minor"/>
    </font>
    <font>
      <sz val="14"/>
      <color theme="1"/>
      <name val="Calibri"/>
      <family val="2"/>
      <charset val="238"/>
      <scheme val="minor"/>
    </font>
  </fonts>
  <fills count="2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indexed="22"/>
        <bgColor indexed="64"/>
      </patternFill>
    </fill>
    <fill>
      <patternFill patternType="solid">
        <fgColor indexed="9"/>
        <bgColor indexed="64"/>
      </patternFill>
    </fill>
    <fill>
      <patternFill patternType="solid">
        <fgColor indexed="31"/>
        <bgColor indexed="64"/>
      </patternFill>
    </fill>
    <fill>
      <patternFill patternType="solid">
        <fgColor rgb="FFFFFF00"/>
        <bgColor indexed="64"/>
      </patternFill>
    </fill>
    <fill>
      <patternFill patternType="solid">
        <fgColor theme="9" tint="0.39997558519241921"/>
        <bgColor indexed="64"/>
      </patternFill>
    </fill>
    <fill>
      <patternFill patternType="solid">
        <fgColor indexed="1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F99FF"/>
        <bgColor indexed="64"/>
      </patternFill>
    </fill>
    <fill>
      <patternFill patternType="solid">
        <fgColor theme="3" tint="0.79998168889431442"/>
        <bgColor indexed="64"/>
      </patternFill>
    </fill>
    <fill>
      <patternFill patternType="solid">
        <fgColor rgb="FFFF0000"/>
        <bgColor indexed="64"/>
      </patternFill>
    </fill>
    <fill>
      <patternFill patternType="solid">
        <fgColor rgb="FFFCD5B5"/>
        <bgColor indexed="64"/>
      </patternFill>
    </fill>
    <fill>
      <patternFill patternType="solid">
        <fgColor rgb="FF93CDDD"/>
        <bgColor indexed="64"/>
      </patternFill>
    </fill>
    <fill>
      <patternFill patternType="solid">
        <fgColor rgb="FF31859C"/>
        <bgColor indexed="64"/>
      </patternFill>
    </fill>
    <fill>
      <patternFill patternType="solid">
        <fgColor rgb="FFBFBFBF"/>
        <bgColor indexed="64"/>
      </patternFill>
    </fill>
    <fill>
      <patternFill patternType="solid">
        <fgColor rgb="FF948A54"/>
        <bgColor indexed="64"/>
      </patternFill>
    </fill>
    <fill>
      <patternFill patternType="solid">
        <fgColor rgb="FF558ED5"/>
        <bgColor indexed="64"/>
      </patternFill>
    </fill>
    <fill>
      <patternFill patternType="solid">
        <fgColor rgb="FF95B3D7"/>
        <bgColor indexed="64"/>
      </patternFill>
    </fill>
    <fill>
      <patternFill patternType="solid">
        <fgColor rgb="FF77933C"/>
        <bgColor indexed="64"/>
      </patternFill>
    </fill>
    <fill>
      <patternFill patternType="solid">
        <fgColor rgb="FFE46C0A"/>
        <bgColor indexed="64"/>
      </patternFill>
    </fill>
    <fill>
      <patternFill patternType="solid">
        <fgColor rgb="FF376092"/>
        <bgColor indexed="64"/>
      </patternFill>
    </fill>
  </fills>
  <borders count="29">
    <border>
      <left/>
      <right/>
      <top/>
      <bottom/>
      <diagonal/>
    </border>
    <border>
      <left/>
      <right/>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thin">
        <color indexed="64"/>
      </bottom>
      <diagonal/>
    </border>
    <border>
      <left style="medium">
        <color indexed="64"/>
      </left>
      <right/>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medium">
        <color indexed="64"/>
      </right>
      <top style="medium">
        <color indexed="64"/>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medium">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s>
  <cellStyleXfs count="10">
    <xf numFmtId="0" fontId="0" fillId="0" borderId="0"/>
    <xf numFmtId="165" fontId="2" fillId="0" borderId="0" applyFont="0" applyFill="0" applyBorder="0" applyAlignment="0" applyProtection="0"/>
    <xf numFmtId="9" fontId="2" fillId="0" borderId="0" applyFont="0" applyFill="0" applyBorder="0" applyAlignment="0" applyProtection="0"/>
    <xf numFmtId="0" fontId="4" fillId="0" borderId="0"/>
    <xf numFmtId="0" fontId="8" fillId="0" borderId="0"/>
    <xf numFmtId="0" fontId="2" fillId="0" borderId="0"/>
    <xf numFmtId="0" fontId="10" fillId="0" borderId="0"/>
    <xf numFmtId="0" fontId="24" fillId="0" borderId="0" applyNumberFormat="0" applyFill="0" applyBorder="0" applyAlignment="0" applyProtection="0"/>
    <xf numFmtId="0" fontId="2" fillId="0" borderId="0"/>
    <xf numFmtId="164" fontId="2" fillId="0" borderId="0" applyFont="0" applyFill="0" applyBorder="0" applyAlignment="0" applyProtection="0"/>
  </cellStyleXfs>
  <cellXfs count="234">
    <xf numFmtId="0" fontId="0" fillId="0" borderId="0" xfId="0"/>
    <xf numFmtId="0" fontId="9" fillId="0" borderId="0" xfId="4" applyFont="1" applyAlignment="1">
      <alignment horizontal="center" vertical="center"/>
    </xf>
    <xf numFmtId="0" fontId="2" fillId="3" borderId="0" xfId="5" applyFill="1" applyAlignment="1">
      <alignment horizontal="center" vertical="center" wrapText="1"/>
    </xf>
    <xf numFmtId="0" fontId="2" fillId="3" borderId="0" xfId="5" applyFill="1" applyAlignment="1">
      <alignment horizontal="center" vertical="center"/>
    </xf>
    <xf numFmtId="0" fontId="2" fillId="3" borderId="4" xfId="5" applyFill="1" applyBorder="1" applyAlignment="1">
      <alignment horizontal="center" vertical="center"/>
    </xf>
    <xf numFmtId="0" fontId="2" fillId="0" borderId="0" xfId="5" applyAlignment="1">
      <alignment horizontal="center" vertical="center"/>
    </xf>
    <xf numFmtId="0" fontId="12" fillId="3" borderId="0" xfId="6" applyFont="1" applyFill="1" applyAlignment="1">
      <alignment vertical="center" wrapText="1"/>
    </xf>
    <xf numFmtId="0" fontId="13" fillId="3" borderId="0" xfId="5" applyFont="1" applyFill="1" applyAlignment="1">
      <alignment horizontal="center" vertical="center"/>
    </xf>
    <xf numFmtId="14" fontId="14" fillId="5" borderId="0" xfId="6" applyNumberFormat="1" applyFont="1" applyFill="1" applyAlignment="1">
      <alignment vertical="center"/>
    </xf>
    <xf numFmtId="0" fontId="12" fillId="5" borderId="0" xfId="6" applyFont="1" applyFill="1" applyAlignment="1">
      <alignment vertical="center"/>
    </xf>
    <xf numFmtId="0" fontId="15" fillId="0" borderId="0" xfId="6" applyFont="1" applyAlignment="1">
      <alignment vertical="center"/>
    </xf>
    <xf numFmtId="0" fontId="15" fillId="5" borderId="0" xfId="6" applyFont="1" applyFill="1" applyAlignment="1">
      <alignment vertical="center"/>
    </xf>
    <xf numFmtId="0" fontId="13" fillId="0" borderId="0" xfId="5" applyFont="1" applyAlignment="1">
      <alignment horizontal="center" vertical="center"/>
    </xf>
    <xf numFmtId="0" fontId="12" fillId="3" borderId="0" xfId="6" applyFont="1" applyFill="1" applyAlignment="1">
      <alignment vertical="top" wrapText="1"/>
    </xf>
    <xf numFmtId="0" fontId="0" fillId="0" borderId="0" xfId="0" applyAlignment="1">
      <alignment horizontal="center" vertical="center" wrapText="1"/>
    </xf>
    <xf numFmtId="1" fontId="22" fillId="0" borderId="14" xfId="6" applyNumberFormat="1" applyFont="1" applyBorder="1" applyAlignment="1" applyProtection="1">
      <alignment horizontal="center" vertical="center" wrapText="1"/>
      <protection locked="0"/>
    </xf>
    <xf numFmtId="1" fontId="25" fillId="10" borderId="14" xfId="6" applyNumberFormat="1" applyFont="1" applyFill="1" applyBorder="1" applyAlignment="1">
      <alignment horizontal="center" vertical="center" wrapText="1"/>
    </xf>
    <xf numFmtId="0" fontId="3" fillId="7" borderId="7" xfId="0" applyFont="1" applyFill="1" applyBorder="1" applyAlignment="1">
      <alignment horizontal="right" vertical="center"/>
    </xf>
    <xf numFmtId="0" fontId="3" fillId="7" borderId="7" xfId="0" applyFont="1" applyFill="1" applyBorder="1" applyAlignment="1">
      <alignment horizontal="center" vertical="center"/>
    </xf>
    <xf numFmtId="0" fontId="3" fillId="7" borderId="7" xfId="0" applyFont="1" applyFill="1" applyBorder="1" applyAlignment="1">
      <alignment horizontal="left" vertical="center"/>
    </xf>
    <xf numFmtId="0" fontId="0" fillId="7" borderId="21" xfId="0" applyFill="1" applyBorder="1"/>
    <xf numFmtId="0" fontId="3" fillId="7" borderId="1" xfId="0" applyFont="1" applyFill="1" applyBorder="1" applyAlignment="1">
      <alignment horizontal="right" vertical="center"/>
    </xf>
    <xf numFmtId="0" fontId="3" fillId="7" borderId="1" xfId="0" applyFont="1" applyFill="1" applyBorder="1" applyAlignment="1">
      <alignment horizontal="center" vertical="center"/>
    </xf>
    <xf numFmtId="0" fontId="3" fillId="7" borderId="1" xfId="0" applyFont="1" applyFill="1" applyBorder="1" applyAlignment="1" applyProtection="1">
      <alignment horizontal="center" vertical="center"/>
      <protection locked="0"/>
    </xf>
    <xf numFmtId="0" fontId="3" fillId="7" borderId="1" xfId="0" applyFont="1" applyFill="1" applyBorder="1" applyAlignment="1">
      <alignment vertical="center"/>
    </xf>
    <xf numFmtId="0" fontId="0" fillId="7" borderId="3" xfId="0" applyFill="1" applyBorder="1"/>
    <xf numFmtId="0" fontId="0" fillId="7" borderId="6" xfId="0" applyFill="1" applyBorder="1"/>
    <xf numFmtId="0" fontId="0" fillId="7" borderId="0" xfId="0" applyFill="1"/>
    <xf numFmtId="0" fontId="0" fillId="7" borderId="4" xfId="0" applyFill="1" applyBorder="1"/>
    <xf numFmtId="0" fontId="0" fillId="7" borderId="16" xfId="0" applyFill="1" applyBorder="1"/>
    <xf numFmtId="0" fontId="0" fillId="7" borderId="17" xfId="0" applyFill="1" applyBorder="1"/>
    <xf numFmtId="0" fontId="0" fillId="7" borderId="18" xfId="0" applyFill="1" applyBorder="1"/>
    <xf numFmtId="0" fontId="2" fillId="0" borderId="0" xfId="0" applyFont="1" applyAlignment="1">
      <alignment horizontal="left" wrapText="1"/>
    </xf>
    <xf numFmtId="0" fontId="26" fillId="12" borderId="14" xfId="0" applyFont="1" applyFill="1" applyBorder="1" applyAlignment="1">
      <alignment horizontal="center" vertical="center" wrapText="1"/>
    </xf>
    <xf numFmtId="167" fontId="27" fillId="12" borderId="14" xfId="0" applyNumberFormat="1" applyFont="1" applyFill="1" applyBorder="1" applyAlignment="1">
      <alignment horizontal="left" vertical="center"/>
    </xf>
    <xf numFmtId="0" fontId="28" fillId="0" borderId="14" xfId="0" applyFont="1" applyBorder="1" applyAlignment="1">
      <alignment horizontal="center" vertical="center"/>
    </xf>
    <xf numFmtId="0" fontId="28" fillId="0" borderId="14" xfId="0" applyFont="1" applyBorder="1" applyAlignment="1" applyProtection="1">
      <alignment horizontal="left" vertical="center" wrapText="1"/>
      <protection locked="0"/>
    </xf>
    <xf numFmtId="0" fontId="29" fillId="0" borderId="14" xfId="0" applyFont="1" applyBorder="1" applyAlignment="1" applyProtection="1">
      <alignment horizontal="left" vertical="center" wrapText="1"/>
      <protection locked="0"/>
    </xf>
    <xf numFmtId="0" fontId="29" fillId="0" borderId="14" xfId="0" applyFont="1" applyBorder="1" applyAlignment="1" applyProtection="1">
      <alignment horizontal="center" vertical="center" wrapText="1"/>
      <protection locked="0"/>
    </xf>
    <xf numFmtId="0" fontId="30" fillId="0" borderId="14" xfId="4" applyFont="1" applyBorder="1" applyAlignment="1">
      <alignment horizontal="left" vertical="top" wrapText="1"/>
    </xf>
    <xf numFmtId="0" fontId="30" fillId="0" borderId="14" xfId="4" applyFont="1" applyBorder="1" applyAlignment="1" applyProtection="1">
      <alignment horizontal="left" vertical="top" wrapText="1"/>
      <protection locked="0"/>
    </xf>
    <xf numFmtId="0" fontId="21" fillId="0" borderId="14" xfId="5" applyFont="1" applyBorder="1" applyAlignment="1">
      <alignment horizontal="center" wrapText="1"/>
    </xf>
    <xf numFmtId="2" fontId="23" fillId="9" borderId="14" xfId="6" applyNumberFormat="1" applyFont="1" applyFill="1" applyBorder="1" applyAlignment="1">
      <alignment horizontal="center" vertical="center" wrapText="1"/>
    </xf>
    <xf numFmtId="0" fontId="21" fillId="0" borderId="14" xfId="5" applyFont="1" applyBorder="1" applyAlignment="1">
      <alignment horizontal="center" vertical="top" wrapText="1"/>
    </xf>
    <xf numFmtId="1" fontId="22" fillId="0" borderId="14" xfId="6" applyNumberFormat="1" applyFont="1" applyBorder="1" applyAlignment="1">
      <alignment horizontal="center" vertical="center" wrapText="1"/>
    </xf>
    <xf numFmtId="1" fontId="22" fillId="11" borderId="14" xfId="6" applyNumberFormat="1" applyFont="1" applyFill="1" applyBorder="1" applyAlignment="1" applyProtection="1">
      <alignment horizontal="center" vertical="center" wrapText="1"/>
      <protection locked="0"/>
    </xf>
    <xf numFmtId="0" fontId="21" fillId="3" borderId="14" xfId="5" applyFont="1" applyFill="1" applyBorder="1" applyAlignment="1">
      <alignment horizontal="center" wrapText="1"/>
    </xf>
    <xf numFmtId="0" fontId="21" fillId="3" borderId="14" xfId="5" applyFont="1" applyFill="1" applyBorder="1" applyAlignment="1">
      <alignment horizontal="center" vertical="top" wrapText="1"/>
    </xf>
    <xf numFmtId="0" fontId="17" fillId="2" borderId="14" xfId="5" applyFont="1" applyFill="1" applyBorder="1" applyAlignment="1">
      <alignment horizontal="center" wrapText="1"/>
    </xf>
    <xf numFmtId="0" fontId="17" fillId="2" borderId="14" xfId="5" applyFont="1" applyFill="1" applyBorder="1" applyAlignment="1">
      <alignment horizontal="center" vertical="center" wrapText="1"/>
    </xf>
    <xf numFmtId="0" fontId="2" fillId="3" borderId="0" xfId="5" applyFill="1" applyAlignment="1">
      <alignment horizontal="right" vertical="center" wrapText="1"/>
    </xf>
    <xf numFmtId="0" fontId="13" fillId="3" borderId="0" xfId="5" applyFont="1" applyFill="1" applyAlignment="1">
      <alignment horizontal="right" vertical="center"/>
    </xf>
    <xf numFmtId="0" fontId="0" fillId="0" borderId="0" xfId="0" applyAlignment="1">
      <alignment horizontal="right"/>
    </xf>
    <xf numFmtId="170" fontId="22" fillId="13" borderId="14" xfId="1" applyNumberFormat="1" applyFont="1" applyFill="1" applyBorder="1" applyAlignment="1" applyProtection="1">
      <alignment horizontal="center" vertical="center" wrapText="1"/>
      <protection locked="0"/>
    </xf>
    <xf numFmtId="0" fontId="21" fillId="12" borderId="14" xfId="5" applyFont="1" applyFill="1" applyBorder="1" applyAlignment="1" applyProtection="1">
      <alignment horizontal="center" vertical="center" wrapText="1"/>
      <protection locked="0"/>
    </xf>
    <xf numFmtId="0" fontId="21" fillId="12" borderId="14" xfId="8" applyFont="1" applyFill="1" applyBorder="1" applyAlignment="1" applyProtection="1">
      <alignment horizontal="center" vertical="center" wrapText="1"/>
      <protection locked="0"/>
    </xf>
    <xf numFmtId="0" fontId="36" fillId="0" borderId="0" xfId="4" applyFont="1" applyAlignment="1">
      <alignment horizontal="center" vertical="center"/>
    </xf>
    <xf numFmtId="0" fontId="37" fillId="0" borderId="0" xfId="5" applyFont="1" applyAlignment="1">
      <alignment horizontal="center" vertical="center"/>
    </xf>
    <xf numFmtId="0" fontId="38" fillId="0" borderId="0" xfId="5" applyFont="1" applyAlignment="1">
      <alignment horizontal="center" vertical="center"/>
    </xf>
    <xf numFmtId="0" fontId="39" fillId="0" borderId="0" xfId="5" applyFont="1" applyAlignment="1">
      <alignment horizontal="center" vertical="center"/>
    </xf>
    <xf numFmtId="0" fontId="37" fillId="0" borderId="0" xfId="0" applyFont="1"/>
    <xf numFmtId="0" fontId="2" fillId="3" borderId="2" xfId="5" applyFill="1" applyBorder="1" applyAlignment="1">
      <alignment horizontal="center" vertical="center"/>
    </xf>
    <xf numFmtId="0" fontId="34" fillId="3" borderId="1" xfId="5" applyFont="1" applyFill="1" applyBorder="1" applyAlignment="1">
      <alignment horizontal="center" vertical="center" wrapText="1"/>
    </xf>
    <xf numFmtId="0" fontId="34" fillId="0" borderId="1" xfId="5" applyFont="1" applyBorder="1" applyAlignment="1">
      <alignment horizontal="center" vertical="center"/>
    </xf>
    <xf numFmtId="0" fontId="34" fillId="3" borderId="0" xfId="5" applyFont="1" applyFill="1" applyAlignment="1">
      <alignment horizontal="center" vertical="center" wrapText="1"/>
    </xf>
    <xf numFmtId="0" fontId="11" fillId="3" borderId="14" xfId="6" applyFont="1" applyFill="1" applyBorder="1" applyAlignment="1">
      <alignment horizontal="center" vertical="center" wrapText="1"/>
    </xf>
    <xf numFmtId="0" fontId="16" fillId="3" borderId="14" xfId="5" applyFont="1" applyFill="1" applyBorder="1" applyAlignment="1">
      <alignment horizontal="center" vertical="center" wrapText="1"/>
    </xf>
    <xf numFmtId="0" fontId="19" fillId="3" borderId="22" xfId="5" applyFont="1" applyFill="1" applyBorder="1" applyAlignment="1">
      <alignment horizontal="center" vertical="center" wrapText="1"/>
    </xf>
    <xf numFmtId="0" fontId="19" fillId="3" borderId="23" xfId="5" applyFont="1" applyFill="1" applyBorder="1" applyAlignment="1">
      <alignment horizontal="center" vertical="center" wrapText="1"/>
    </xf>
    <xf numFmtId="0" fontId="19" fillId="3" borderId="24" xfId="5"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3"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19" fillId="3" borderId="14" xfId="5" applyFont="1" applyFill="1" applyBorder="1" applyAlignment="1">
      <alignment horizontal="center" vertical="center" wrapText="1"/>
    </xf>
    <xf numFmtId="0" fontId="0" fillId="3" borderId="0" xfId="0" applyFill="1"/>
    <xf numFmtId="0" fontId="32" fillId="0" borderId="0" xfId="5" applyFont="1" applyAlignment="1">
      <alignment horizontal="left" vertical="center" wrapText="1"/>
    </xf>
    <xf numFmtId="0" fontId="44" fillId="0" borderId="0" xfId="5" applyFont="1" applyAlignment="1">
      <alignment horizontal="center" vertical="center" wrapText="1"/>
    </xf>
    <xf numFmtId="0" fontId="32" fillId="0" borderId="0" xfId="0" applyFont="1"/>
    <xf numFmtId="0" fontId="21" fillId="3" borderId="14" xfId="5" applyFont="1" applyFill="1" applyBorder="1" applyAlignment="1">
      <alignment horizontal="center" vertical="center" wrapText="1"/>
    </xf>
    <xf numFmtId="1" fontId="22" fillId="7" borderId="14" xfId="6" applyNumberFormat="1" applyFont="1" applyFill="1" applyBorder="1" applyAlignment="1" applyProtection="1">
      <alignment horizontal="center" vertical="center" wrapText="1"/>
      <protection locked="0"/>
    </xf>
    <xf numFmtId="0" fontId="21" fillId="3" borderId="22" xfId="5" applyFont="1" applyFill="1" applyBorder="1" applyAlignment="1">
      <alignment horizontal="center" vertical="center" wrapText="1"/>
    </xf>
    <xf numFmtId="0" fontId="21" fillId="3" borderId="24" xfId="5" applyFont="1" applyFill="1" applyBorder="1" applyAlignment="1">
      <alignment horizontal="center" vertical="center" wrapText="1"/>
    </xf>
    <xf numFmtId="9" fontId="22" fillId="8" borderId="14" xfId="2" applyFont="1" applyFill="1" applyBorder="1" applyAlignment="1" applyProtection="1">
      <alignment horizontal="center" vertical="center" wrapText="1"/>
      <protection locked="0"/>
    </xf>
    <xf numFmtId="1" fontId="22" fillId="6" borderId="14" xfId="6" applyNumberFormat="1" applyFont="1" applyFill="1" applyBorder="1" applyAlignment="1" applyProtection="1">
      <alignment horizontal="right" vertical="center" wrapText="1"/>
      <protection locked="0"/>
    </xf>
    <xf numFmtId="10" fontId="22" fillId="6" borderId="14" xfId="2" applyNumberFormat="1" applyFont="1" applyFill="1" applyBorder="1" applyAlignment="1" applyProtection="1">
      <alignment horizontal="right" vertical="center" wrapText="1"/>
      <protection locked="0"/>
    </xf>
    <xf numFmtId="0" fontId="45" fillId="0" borderId="14" xfId="5" applyFont="1" applyBorder="1" applyAlignment="1">
      <alignment horizontal="center" vertical="center" wrapText="1"/>
    </xf>
    <xf numFmtId="0" fontId="41" fillId="0" borderId="25" xfId="0" applyFont="1" applyBorder="1" applyAlignment="1">
      <alignment horizontal="center" vertical="center"/>
    </xf>
    <xf numFmtId="0" fontId="40" fillId="4" borderId="26" xfId="5" applyFont="1" applyFill="1" applyBorder="1" applyAlignment="1">
      <alignment horizontal="center" vertical="center" wrapText="1"/>
    </xf>
    <xf numFmtId="0" fontId="16" fillId="3" borderId="22" xfId="5" applyFont="1" applyFill="1" applyBorder="1" applyAlignment="1">
      <alignment horizontal="center" vertical="center" wrapText="1"/>
    </xf>
    <xf numFmtId="0" fontId="46" fillId="0" borderId="22" xfId="0" applyFont="1" applyBorder="1" applyAlignment="1">
      <alignment vertical="center"/>
    </xf>
    <xf numFmtId="0" fontId="46" fillId="0" borderId="24" xfId="0" applyFont="1" applyBorder="1" applyAlignment="1">
      <alignment vertical="center"/>
    </xf>
    <xf numFmtId="0" fontId="1" fillId="3" borderId="14" xfId="5" applyFont="1" applyFill="1" applyBorder="1" applyAlignment="1">
      <alignment horizontal="center" wrapText="1"/>
    </xf>
    <xf numFmtId="0" fontId="1" fillId="3" borderId="14" xfId="5" applyFont="1" applyFill="1" applyBorder="1" applyAlignment="1">
      <alignment horizontal="center" vertical="top" wrapText="1"/>
    </xf>
    <xf numFmtId="0" fontId="19" fillId="7" borderId="28" xfId="5" applyFont="1" applyFill="1" applyBorder="1" applyAlignment="1">
      <alignment horizontal="center" vertical="center" wrapText="1"/>
    </xf>
    <xf numFmtId="0" fontId="40" fillId="4" borderId="26" xfId="5" applyFont="1" applyFill="1" applyBorder="1" applyAlignment="1">
      <alignment vertical="center" wrapText="1"/>
    </xf>
    <xf numFmtId="0" fontId="40" fillId="4" borderId="0" xfId="5" applyFont="1" applyFill="1" applyAlignment="1">
      <alignment vertical="center" wrapText="1"/>
    </xf>
    <xf numFmtId="0" fontId="43" fillId="0" borderId="0" xfId="6" applyFont="1" applyAlignment="1" applyProtection="1">
      <alignment horizontal="center" vertical="center" wrapText="1"/>
      <protection locked="0"/>
    </xf>
    <xf numFmtId="0" fontId="41" fillId="0" borderId="0" xfId="0" applyFont="1" applyAlignment="1">
      <alignment horizontal="center" vertical="center"/>
    </xf>
    <xf numFmtId="0" fontId="29" fillId="0" borderId="20" xfId="0" applyFont="1" applyBorder="1" applyAlignment="1" applyProtection="1">
      <alignment horizontal="center" vertical="center" wrapText="1"/>
      <protection locked="0"/>
    </xf>
    <xf numFmtId="0" fontId="29" fillId="0" borderId="19" xfId="0" applyFont="1" applyBorder="1" applyAlignment="1" applyProtection="1">
      <alignment horizontal="center" vertical="center" wrapText="1"/>
      <protection locked="0"/>
    </xf>
    <xf numFmtId="0" fontId="20" fillId="7" borderId="6" xfId="0" applyFont="1" applyFill="1" applyBorder="1" applyAlignment="1">
      <alignment horizontal="center" vertical="center"/>
    </xf>
    <xf numFmtId="0" fontId="20" fillId="7" borderId="0" xfId="0" applyFont="1" applyFill="1" applyAlignment="1">
      <alignment horizontal="center" vertical="center"/>
    </xf>
    <xf numFmtId="0" fontId="20" fillId="7" borderId="4" xfId="0" applyFont="1" applyFill="1" applyBorder="1" applyAlignment="1">
      <alignment horizontal="center" vertical="center"/>
    </xf>
    <xf numFmtId="0" fontId="20" fillId="7" borderId="5" xfId="0" applyFont="1" applyFill="1" applyBorder="1" applyAlignment="1">
      <alignment horizontal="center" vertical="center"/>
    </xf>
    <xf numFmtId="0" fontId="20" fillId="7" borderId="1" xfId="0" applyFont="1" applyFill="1" applyBorder="1" applyAlignment="1">
      <alignment horizontal="center" vertical="center"/>
    </xf>
    <xf numFmtId="0" fontId="20" fillId="7" borderId="3" xfId="0" applyFont="1" applyFill="1" applyBorder="1" applyAlignment="1">
      <alignment horizontal="center" vertical="center"/>
    </xf>
    <xf numFmtId="0" fontId="2" fillId="0" borderId="7" xfId="0" applyFont="1" applyBorder="1" applyAlignment="1">
      <alignment horizontal="left" vertical="center" wrapText="1"/>
    </xf>
    <xf numFmtId="0" fontId="26" fillId="12" borderId="20" xfId="0" applyFont="1" applyFill="1" applyBorder="1" applyAlignment="1">
      <alignment horizontal="center" vertical="center" wrapText="1"/>
    </xf>
    <xf numFmtId="0" fontId="26" fillId="12" borderId="19" xfId="0" applyFont="1" applyFill="1" applyBorder="1" applyAlignment="1">
      <alignment horizontal="center" vertical="center" wrapText="1"/>
    </xf>
    <xf numFmtId="0" fontId="19" fillId="15" borderId="22" xfId="5" applyFont="1" applyFill="1" applyBorder="1" applyAlignment="1">
      <alignment horizontal="center" vertical="center" wrapText="1"/>
    </xf>
    <xf numFmtId="0" fontId="19" fillId="15" borderId="23" xfId="5" applyFont="1" applyFill="1" applyBorder="1" applyAlignment="1">
      <alignment horizontal="center" vertical="center" wrapText="1"/>
    </xf>
    <xf numFmtId="0" fontId="19" fillId="15" borderId="24" xfId="5" applyFont="1" applyFill="1" applyBorder="1" applyAlignment="1">
      <alignment horizontal="center" vertical="center" wrapText="1"/>
    </xf>
    <xf numFmtId="9" fontId="22" fillId="8" borderId="14" xfId="2" quotePrefix="1" applyFont="1" applyFill="1" applyBorder="1" applyAlignment="1" applyProtection="1">
      <alignment horizontal="center" vertical="center" wrapText="1"/>
      <protection locked="0"/>
    </xf>
    <xf numFmtId="0" fontId="46" fillId="0" borderId="22" xfId="0" applyFont="1" applyBorder="1" applyAlignment="1">
      <alignment horizontal="left" vertical="center"/>
    </xf>
    <xf numFmtId="0" fontId="0" fillId="0" borderId="0" xfId="0"/>
    <xf numFmtId="170" fontId="22" fillId="6" borderId="14" xfId="1" applyNumberFormat="1" applyFont="1" applyFill="1" applyBorder="1" applyAlignment="1" applyProtection="1">
      <alignment horizontal="right" vertical="center" wrapText="1"/>
      <protection locked="0"/>
    </xf>
    <xf numFmtId="1" fontId="22" fillId="7" borderId="14" xfId="6" applyNumberFormat="1" applyFont="1" applyFill="1" applyBorder="1" applyAlignment="1" applyProtection="1">
      <alignment horizontal="center" vertical="center" wrapText="1"/>
      <protection locked="0"/>
    </xf>
    <xf numFmtId="1" fontId="22" fillId="6" borderId="14" xfId="6" applyNumberFormat="1" applyFont="1" applyFill="1" applyBorder="1" applyAlignment="1" applyProtection="1">
      <alignment horizontal="right" vertical="center" wrapText="1"/>
      <protection locked="0"/>
    </xf>
    <xf numFmtId="0" fontId="21" fillId="3" borderId="14" xfId="5" applyFont="1" applyFill="1" applyBorder="1" applyAlignment="1">
      <alignment horizontal="center" vertical="center" wrapText="1"/>
    </xf>
    <xf numFmtId="9" fontId="22" fillId="8" borderId="14" xfId="2" applyFont="1" applyFill="1" applyBorder="1" applyAlignment="1" applyProtection="1">
      <alignment horizontal="center" vertical="center" wrapText="1"/>
      <protection locked="0"/>
    </xf>
    <xf numFmtId="9" fontId="22" fillId="8" borderId="22" xfId="2" applyFont="1" applyFill="1" applyBorder="1" applyAlignment="1" applyProtection="1">
      <alignment horizontal="center" vertical="center" wrapText="1"/>
      <protection locked="0"/>
    </xf>
    <xf numFmtId="9" fontId="22" fillId="8" borderId="24" xfId="2" applyFont="1" applyFill="1" applyBorder="1" applyAlignment="1" applyProtection="1">
      <alignment horizontal="center" vertical="center" wrapText="1"/>
      <protection locked="0"/>
    </xf>
    <xf numFmtId="1" fontId="22" fillId="7" borderId="22" xfId="6" applyNumberFormat="1" applyFont="1" applyFill="1" applyBorder="1" applyAlignment="1" applyProtection="1">
      <alignment horizontal="center" vertical="center" wrapText="1"/>
      <protection locked="0"/>
    </xf>
    <xf numFmtId="1" fontId="22" fillId="7" borderId="24" xfId="6" applyNumberFormat="1" applyFont="1" applyFill="1" applyBorder="1" applyAlignment="1" applyProtection="1">
      <alignment horizontal="center" vertical="center" wrapText="1"/>
      <protection locked="0"/>
    </xf>
    <xf numFmtId="0" fontId="40" fillId="4" borderId="14" xfId="5" applyFont="1" applyFill="1" applyBorder="1" applyAlignment="1">
      <alignment horizontal="center" vertical="center" wrapText="1"/>
    </xf>
    <xf numFmtId="0" fontId="46" fillId="0" borderId="22" xfId="7" applyFont="1" applyBorder="1" applyAlignment="1">
      <alignment horizontal="left" vertical="center" wrapText="1"/>
    </xf>
    <xf numFmtId="0" fontId="46" fillId="0" borderId="24" xfId="7" applyFont="1" applyBorder="1" applyAlignment="1">
      <alignment horizontal="left" vertical="center" wrapText="1"/>
    </xf>
    <xf numFmtId="0" fontId="16" fillId="4" borderId="14" xfId="5" applyFont="1" applyFill="1" applyBorder="1" applyAlignment="1">
      <alignment horizontal="center" vertical="center" wrapText="1"/>
    </xf>
    <xf numFmtId="0" fontId="45" fillId="0" borderId="14" xfId="5" applyFont="1" applyBorder="1" applyAlignment="1">
      <alignment horizontal="center" vertical="center" wrapText="1"/>
    </xf>
    <xf numFmtId="0" fontId="17" fillId="4" borderId="14" xfId="5" applyFont="1" applyFill="1" applyBorder="1" applyAlignment="1">
      <alignment horizontal="center" vertical="center" wrapText="1"/>
    </xf>
    <xf numFmtId="0" fontId="21" fillId="12" borderId="14" xfId="5" applyFont="1" applyFill="1" applyBorder="1" applyAlignment="1" applyProtection="1">
      <alignment horizontal="center" vertical="center" wrapText="1"/>
      <protection locked="0"/>
    </xf>
    <xf numFmtId="0" fontId="21" fillId="3" borderId="22" xfId="5" applyFont="1" applyFill="1" applyBorder="1" applyAlignment="1">
      <alignment horizontal="center" vertical="center" wrapText="1"/>
    </xf>
    <xf numFmtId="0" fontId="21" fillId="12" borderId="22" xfId="8" applyFont="1" applyFill="1" applyBorder="1" applyAlignment="1" applyProtection="1">
      <alignment horizontal="center" vertical="center" wrapText="1"/>
      <protection locked="0"/>
    </xf>
    <xf numFmtId="170" fontId="22" fillId="6" borderId="22" xfId="1" applyNumberFormat="1" applyFont="1" applyFill="1" applyBorder="1" applyAlignment="1" applyProtection="1">
      <alignment horizontal="right" vertical="center" wrapText="1"/>
      <protection locked="0"/>
    </xf>
    <xf numFmtId="0" fontId="21" fillId="3" borderId="24" xfId="5" applyFont="1" applyFill="1" applyBorder="1" applyAlignment="1">
      <alignment horizontal="center" vertical="center" wrapText="1"/>
    </xf>
    <xf numFmtId="0" fontId="21" fillId="12" borderId="24" xfId="8" applyFont="1" applyFill="1" applyBorder="1" applyAlignment="1" applyProtection="1">
      <alignment horizontal="center" vertical="center" wrapText="1"/>
      <protection locked="0"/>
    </xf>
    <xf numFmtId="1" fontId="22" fillId="6" borderId="22" xfId="6" applyNumberFormat="1" applyFont="1" applyFill="1" applyBorder="1" applyAlignment="1" applyProtection="1">
      <alignment horizontal="right" vertical="center" wrapText="1"/>
      <protection locked="0"/>
    </xf>
    <xf numFmtId="1" fontId="22" fillId="6" borderId="24" xfId="6" applyNumberFormat="1" applyFont="1" applyFill="1" applyBorder="1" applyAlignment="1" applyProtection="1">
      <alignment horizontal="right" vertical="center" wrapText="1"/>
      <protection locked="0"/>
    </xf>
    <xf numFmtId="0" fontId="0" fillId="12" borderId="14" xfId="0" applyFill="1" applyBorder="1" applyAlignment="1">
      <alignment horizontal="center" vertical="center" wrapText="1"/>
    </xf>
    <xf numFmtId="0" fontId="46" fillId="0" borderId="22" xfId="0" applyFont="1" applyBorder="1" applyAlignment="1">
      <alignment vertical="center" wrapText="1"/>
    </xf>
    <xf numFmtId="0" fontId="46" fillId="0" borderId="24" xfId="0" applyFont="1" applyBorder="1" applyAlignment="1">
      <alignment vertical="center" wrapText="1"/>
    </xf>
    <xf numFmtId="0" fontId="41" fillId="0" borderId="25" xfId="0" applyFont="1" applyBorder="1" applyAlignment="1">
      <alignment horizontal="center" vertical="center" wrapText="1"/>
    </xf>
    <xf numFmtId="0" fontId="19" fillId="17" borderId="14" xfId="5" applyFont="1" applyFill="1" applyBorder="1" applyAlignment="1">
      <alignment horizontal="center" vertical="center" wrapText="1"/>
    </xf>
    <xf numFmtId="0" fontId="20" fillId="0" borderId="14" xfId="0" applyFont="1" applyBorder="1" applyAlignment="1">
      <alignment vertical="center"/>
    </xf>
    <xf numFmtId="0" fontId="20" fillId="0" borderId="22" xfId="0" applyFont="1" applyBorder="1" applyAlignment="1">
      <alignment vertical="center"/>
    </xf>
    <xf numFmtId="0" fontId="20" fillId="0" borderId="24" xfId="0" applyFont="1" applyBorder="1" applyAlignment="1">
      <alignment vertical="center"/>
    </xf>
    <xf numFmtId="0" fontId="21" fillId="12" borderId="14" xfId="8" applyFont="1" applyFill="1" applyBorder="1" applyAlignment="1" applyProtection="1">
      <alignment horizontal="center" vertical="center" wrapText="1"/>
      <protection locked="0"/>
    </xf>
    <xf numFmtId="0" fontId="21" fillId="0" borderId="14" xfId="5" applyFont="1" applyBorder="1" applyAlignment="1">
      <alignment horizontal="center" vertical="center" wrapText="1"/>
    </xf>
    <xf numFmtId="0" fontId="6" fillId="2" borderId="9" xfId="3" applyFont="1" applyFill="1" applyBorder="1" applyAlignment="1">
      <alignment horizontal="center" vertical="center"/>
    </xf>
    <xf numFmtId="0" fontId="6" fillId="2" borderId="8" xfId="3" applyFont="1" applyFill="1" applyBorder="1" applyAlignment="1">
      <alignment horizontal="center" vertical="center"/>
    </xf>
    <xf numFmtId="0" fontId="6" fillId="2" borderId="12" xfId="3" applyFont="1" applyFill="1" applyBorder="1" applyAlignment="1">
      <alignment horizontal="center" vertical="center"/>
    </xf>
    <xf numFmtId="0" fontId="6" fillId="2" borderId="11" xfId="3" applyFont="1" applyFill="1" applyBorder="1" applyAlignment="1">
      <alignment horizontal="center" vertical="center"/>
    </xf>
    <xf numFmtId="0" fontId="7" fillId="2" borderId="10" xfId="3" applyFont="1" applyFill="1" applyBorder="1" applyAlignment="1">
      <alignment horizontal="center" vertical="center"/>
    </xf>
    <xf numFmtId="0" fontId="7" fillId="2" borderId="13" xfId="3" applyFont="1" applyFill="1" applyBorder="1" applyAlignment="1">
      <alignment horizontal="center" vertical="center"/>
    </xf>
    <xf numFmtId="0" fontId="11" fillId="4" borderId="14" xfId="6" applyFont="1" applyFill="1" applyBorder="1" applyAlignment="1">
      <alignment horizontal="center" vertical="center" wrapText="1"/>
    </xf>
    <xf numFmtId="0" fontId="43" fillId="0" borderId="14" xfId="6" applyFont="1" applyBorder="1" applyAlignment="1" applyProtection="1">
      <alignment horizontal="center" vertical="center" wrapText="1"/>
      <protection locked="0"/>
    </xf>
    <xf numFmtId="0" fontId="12" fillId="4" borderId="14" xfId="6" applyFont="1" applyFill="1" applyBorder="1" applyAlignment="1">
      <alignment horizontal="right" vertical="center" wrapText="1"/>
    </xf>
    <xf numFmtId="0" fontId="12" fillId="5" borderId="14" xfId="6" applyFont="1" applyFill="1" applyBorder="1" applyAlignment="1">
      <alignment horizontal="center" vertical="center" wrapText="1"/>
    </xf>
    <xf numFmtId="0" fontId="12" fillId="4" borderId="14" xfId="6" applyFont="1" applyFill="1" applyBorder="1" applyAlignment="1">
      <alignment horizontal="center" vertical="center" wrapText="1"/>
    </xf>
    <xf numFmtId="0" fontId="12" fillId="5" borderId="15" xfId="6" applyFont="1" applyFill="1" applyBorder="1" applyAlignment="1">
      <alignment horizontal="center" vertical="center" wrapText="1"/>
    </xf>
    <xf numFmtId="166" fontId="12" fillId="5" borderId="14" xfId="6" applyNumberFormat="1" applyFont="1" applyFill="1" applyBorder="1" applyAlignment="1" applyProtection="1">
      <alignment horizontal="center" vertical="center" wrapText="1"/>
      <protection locked="0"/>
    </xf>
    <xf numFmtId="0" fontId="12" fillId="5" borderId="14" xfId="6" applyFont="1" applyFill="1" applyBorder="1" applyAlignment="1" applyProtection="1">
      <alignment horizontal="center" vertical="center" wrapText="1"/>
      <protection locked="0"/>
    </xf>
    <xf numFmtId="0" fontId="12" fillId="5" borderId="15" xfId="6" applyFont="1" applyFill="1" applyBorder="1" applyAlignment="1" applyProtection="1">
      <alignment horizontal="center" vertical="center" wrapText="1"/>
      <protection locked="0"/>
    </xf>
    <xf numFmtId="0" fontId="5" fillId="2" borderId="0" xfId="3" applyFont="1" applyFill="1" applyAlignment="1">
      <alignment horizontal="center" vertical="center" wrapText="1"/>
    </xf>
    <xf numFmtId="0" fontId="5" fillId="2" borderId="25" xfId="3" applyFont="1" applyFill="1" applyBorder="1" applyAlignment="1">
      <alignment horizontal="center" vertical="center" wrapText="1"/>
    </xf>
    <xf numFmtId="0" fontId="5" fillId="2" borderId="1" xfId="3" applyFont="1" applyFill="1" applyBorder="1" applyAlignment="1">
      <alignment horizontal="center" vertical="center" wrapText="1"/>
    </xf>
    <xf numFmtId="0" fontId="5" fillId="2" borderId="11" xfId="3" applyFont="1" applyFill="1" applyBorder="1" applyAlignment="1">
      <alignment horizontal="center" vertical="center" wrapText="1"/>
    </xf>
    <xf numFmtId="168" fontId="18" fillId="2" borderId="14" xfId="0" applyNumberFormat="1" applyFont="1" applyFill="1" applyBorder="1" applyAlignment="1">
      <alignment horizontal="center" vertical="center" textRotation="90"/>
    </xf>
    <xf numFmtId="0" fontId="17" fillId="2" borderId="14" xfId="5" applyFont="1" applyFill="1" applyBorder="1" applyAlignment="1">
      <alignment horizontal="center" vertical="center" textRotation="90" wrapText="1"/>
    </xf>
    <xf numFmtId="167" fontId="18" fillId="2" borderId="14" xfId="0" applyNumberFormat="1" applyFont="1" applyFill="1" applyBorder="1" applyAlignment="1">
      <alignment horizontal="center" vertical="center" textRotation="90"/>
    </xf>
    <xf numFmtId="0" fontId="17" fillId="2" borderId="22" xfId="5" applyFont="1" applyFill="1" applyBorder="1" applyAlignment="1">
      <alignment horizontal="center" vertical="center" wrapText="1"/>
    </xf>
    <xf numFmtId="0" fontId="17" fillId="2" borderId="24" xfId="5" applyFont="1" applyFill="1" applyBorder="1" applyAlignment="1">
      <alignment horizontal="center" vertical="center" wrapText="1"/>
    </xf>
    <xf numFmtId="0" fontId="0" fillId="0" borderId="0" xfId="0" quotePrefix="1"/>
    <xf numFmtId="0" fontId="46" fillId="0" borderId="24" xfId="0" applyFont="1" applyBorder="1" applyAlignment="1">
      <alignment horizontal="left" vertical="center"/>
    </xf>
    <xf numFmtId="0" fontId="35" fillId="17" borderId="22" xfId="0" applyFont="1" applyFill="1" applyBorder="1" applyAlignment="1">
      <alignment horizontal="center" vertical="center"/>
    </xf>
    <xf numFmtId="0" fontId="35" fillId="17" borderId="23" xfId="0" applyFont="1" applyFill="1" applyBorder="1" applyAlignment="1">
      <alignment horizontal="center" vertical="center"/>
    </xf>
    <xf numFmtId="0" fontId="35" fillId="17" borderId="24" xfId="0" applyFont="1" applyFill="1" applyBorder="1" applyAlignment="1">
      <alignment horizontal="center" vertical="center"/>
    </xf>
    <xf numFmtId="0" fontId="33" fillId="16" borderId="22" xfId="0" applyFont="1" applyFill="1" applyBorder="1" applyAlignment="1">
      <alignment horizontal="center" vertical="center"/>
    </xf>
    <xf numFmtId="0" fontId="33" fillId="16" borderId="23" xfId="0" applyFont="1" applyFill="1" applyBorder="1" applyAlignment="1">
      <alignment horizontal="center" vertical="center"/>
    </xf>
    <xf numFmtId="0" fontId="33" fillId="16" borderId="24" xfId="0" applyFont="1" applyFill="1" applyBorder="1" applyAlignment="1">
      <alignment horizontal="center" vertical="center"/>
    </xf>
    <xf numFmtId="0" fontId="20" fillId="0" borderId="22" xfId="7" applyFont="1" applyFill="1" applyBorder="1" applyAlignment="1">
      <alignment horizontal="left" vertical="center" wrapText="1"/>
    </xf>
    <xf numFmtId="0" fontId="20" fillId="0" borderId="24" xfId="7" applyFont="1" applyFill="1" applyBorder="1" applyAlignment="1">
      <alignment horizontal="left" vertical="center" wrapText="1"/>
    </xf>
    <xf numFmtId="0" fontId="35" fillId="17" borderId="22" xfId="0" applyFont="1" applyFill="1" applyBorder="1" applyAlignment="1">
      <alignment horizontal="center" vertical="center" wrapText="1"/>
    </xf>
    <xf numFmtId="0" fontId="35" fillId="17" borderId="23" xfId="0" applyFont="1" applyFill="1" applyBorder="1" applyAlignment="1">
      <alignment horizontal="center" vertical="center" wrapText="1"/>
    </xf>
    <xf numFmtId="0" fontId="35" fillId="17" borderId="24" xfId="0" applyFont="1" applyFill="1" applyBorder="1" applyAlignment="1">
      <alignment horizontal="center" vertical="center" wrapText="1"/>
    </xf>
    <xf numFmtId="0" fontId="35" fillId="0" borderId="22" xfId="0" applyFont="1" applyBorder="1" applyAlignment="1">
      <alignment horizontal="center" vertical="center" wrapText="1"/>
    </xf>
    <xf numFmtId="0" fontId="35" fillId="0" borderId="23" xfId="0" applyFont="1" applyBorder="1" applyAlignment="1">
      <alignment horizontal="center" vertical="center" wrapText="1"/>
    </xf>
    <xf numFmtId="0" fontId="35" fillId="0" borderId="24" xfId="0" applyFont="1" applyBorder="1" applyAlignment="1">
      <alignment horizontal="center" vertical="center" wrapText="1"/>
    </xf>
    <xf numFmtId="0" fontId="20" fillId="0" borderId="22" xfId="0" applyFont="1" applyBorder="1" applyAlignment="1">
      <alignment horizontal="left" vertical="center"/>
    </xf>
    <xf numFmtId="0" fontId="20" fillId="0" borderId="24" xfId="0" applyFont="1" applyBorder="1" applyAlignment="1">
      <alignment horizontal="left" vertical="center"/>
    </xf>
    <xf numFmtId="169" fontId="22" fillId="6" borderId="22" xfId="2" applyNumberFormat="1" applyFont="1" applyFill="1" applyBorder="1" applyAlignment="1" applyProtection="1">
      <alignment horizontal="right" vertical="center" wrapText="1"/>
      <protection locked="0"/>
    </xf>
    <xf numFmtId="171" fontId="22" fillId="6" borderId="14" xfId="9" applyNumberFormat="1" applyFont="1" applyFill="1" applyBorder="1" applyAlignment="1" applyProtection="1">
      <alignment horizontal="right" vertical="center" wrapText="1"/>
      <protection locked="0"/>
    </xf>
    <xf numFmtId="0" fontId="41" fillId="0" borderId="26" xfId="0" applyFont="1" applyBorder="1" applyAlignment="1">
      <alignment horizontal="center" vertical="center"/>
    </xf>
    <xf numFmtId="0" fontId="41" fillId="0" borderId="25" xfId="0" applyFont="1" applyBorder="1" applyAlignment="1">
      <alignment horizontal="center" vertical="center"/>
    </xf>
    <xf numFmtId="0" fontId="19" fillId="7" borderId="27" xfId="5" applyFont="1" applyFill="1" applyBorder="1" applyAlignment="1">
      <alignment horizontal="center" vertical="center" wrapText="1"/>
    </xf>
    <xf numFmtId="0" fontId="19" fillId="7" borderId="28" xfId="5" applyFont="1" applyFill="1" applyBorder="1" applyAlignment="1">
      <alignment horizontal="center" vertical="center" wrapText="1"/>
    </xf>
    <xf numFmtId="0" fontId="46" fillId="0" borderId="26" xfId="7" applyFont="1" applyBorder="1" applyAlignment="1">
      <alignment horizontal="left" vertical="center" wrapText="1"/>
    </xf>
    <xf numFmtId="0" fontId="46" fillId="0" borderId="11" xfId="7" applyFont="1" applyBorder="1" applyAlignment="1">
      <alignment horizontal="left" vertical="center" wrapText="1"/>
    </xf>
    <xf numFmtId="0" fontId="19" fillId="7" borderId="22" xfId="5" applyFont="1" applyFill="1" applyBorder="1" applyAlignment="1">
      <alignment horizontal="center" vertical="center" wrapText="1"/>
    </xf>
    <xf numFmtId="0" fontId="19" fillId="7" borderId="23" xfId="5" applyFont="1" applyFill="1" applyBorder="1" applyAlignment="1">
      <alignment horizontal="center" vertical="center" wrapText="1"/>
    </xf>
    <xf numFmtId="0" fontId="19" fillId="7" borderId="24" xfId="5" applyFont="1" applyFill="1" applyBorder="1" applyAlignment="1">
      <alignment horizontal="center" vertical="center" wrapText="1"/>
    </xf>
    <xf numFmtId="0" fontId="46" fillId="0" borderId="22" xfId="0" applyFont="1" applyBorder="1" applyAlignment="1">
      <alignment vertical="center"/>
    </xf>
    <xf numFmtId="0" fontId="46" fillId="0" borderId="24" xfId="0" applyFont="1" applyBorder="1" applyAlignment="1">
      <alignment vertical="center"/>
    </xf>
    <xf numFmtId="169" fontId="22" fillId="6" borderId="14" xfId="2" applyNumberFormat="1" applyFont="1" applyFill="1" applyBorder="1" applyAlignment="1" applyProtection="1">
      <alignment horizontal="right" vertical="center" wrapText="1"/>
      <protection locked="0"/>
    </xf>
    <xf numFmtId="0" fontId="19" fillId="7" borderId="14" xfId="5" applyFont="1" applyFill="1" applyBorder="1" applyAlignment="1">
      <alignment horizontal="center" vertical="center" wrapText="1"/>
    </xf>
    <xf numFmtId="0" fontId="46" fillId="0" borderId="22" xfId="0" applyFont="1" applyBorder="1" applyAlignment="1">
      <alignment horizontal="left" vertical="center" wrapText="1"/>
    </xf>
    <xf numFmtId="0" fontId="46" fillId="0" borderId="24" xfId="0" applyFont="1" applyBorder="1" applyAlignment="1">
      <alignment horizontal="left" vertical="center" wrapText="1"/>
    </xf>
    <xf numFmtId="0" fontId="19" fillId="14" borderId="14" xfId="5" applyFont="1" applyFill="1" applyBorder="1" applyAlignment="1">
      <alignment horizontal="center" vertical="center" wrapText="1"/>
    </xf>
    <xf numFmtId="0" fontId="1" fillId="3" borderId="14" xfId="5" applyFont="1" applyFill="1" applyBorder="1" applyAlignment="1">
      <alignment horizontal="center" vertical="center" wrapText="1"/>
    </xf>
    <xf numFmtId="0" fontId="1" fillId="12" borderId="14" xfId="5" applyFont="1" applyFill="1" applyBorder="1" applyAlignment="1" applyProtection="1">
      <alignment horizontal="center" vertical="center" wrapText="1"/>
      <protection locked="0"/>
    </xf>
    <xf numFmtId="0" fontId="46" fillId="0" borderId="22" xfId="7" applyFont="1" applyBorder="1" applyAlignment="1">
      <alignment horizontal="center" vertical="center" wrapText="1"/>
    </xf>
    <xf numFmtId="0" fontId="46" fillId="0" borderId="24" xfId="7" applyFont="1" applyBorder="1" applyAlignment="1">
      <alignment horizontal="center" vertical="center" wrapText="1"/>
    </xf>
    <xf numFmtId="0" fontId="19" fillId="27" borderId="14" xfId="5" applyFont="1" applyFill="1" applyBorder="1" applyAlignment="1">
      <alignment horizontal="center" vertical="center" wrapText="1"/>
    </xf>
    <xf numFmtId="0" fontId="19" fillId="28" borderId="14" xfId="5" applyFont="1" applyFill="1" applyBorder="1" applyAlignment="1">
      <alignment horizontal="center" vertical="center" wrapText="1"/>
    </xf>
    <xf numFmtId="0" fontId="19" fillId="18" borderId="14" xfId="5" applyFont="1" applyFill="1" applyBorder="1" applyAlignment="1">
      <alignment horizontal="center" vertical="center" wrapText="1"/>
    </xf>
    <xf numFmtId="0" fontId="19" fillId="26" borderId="14" xfId="5" applyFont="1" applyFill="1" applyBorder="1" applyAlignment="1">
      <alignment horizontal="center" vertical="center" wrapText="1"/>
    </xf>
    <xf numFmtId="0" fontId="19" fillId="25" borderId="14" xfId="5" applyFont="1" applyFill="1" applyBorder="1" applyAlignment="1">
      <alignment horizontal="center" vertical="center" wrapText="1"/>
    </xf>
    <xf numFmtId="0" fontId="46" fillId="7" borderId="22" xfId="7" applyFont="1" applyFill="1" applyBorder="1" applyAlignment="1">
      <alignment horizontal="left" vertical="center" wrapText="1"/>
    </xf>
    <xf numFmtId="0" fontId="46" fillId="7" borderId="24" xfId="7" applyFont="1" applyFill="1" applyBorder="1" applyAlignment="1">
      <alignment horizontal="left" vertical="center" wrapText="1"/>
    </xf>
    <xf numFmtId="0" fontId="19" fillId="23" borderId="14" xfId="5" applyFont="1" applyFill="1" applyBorder="1" applyAlignment="1">
      <alignment horizontal="center" vertical="center" wrapText="1"/>
    </xf>
    <xf numFmtId="10" fontId="22" fillId="6" borderId="14" xfId="2" applyNumberFormat="1" applyFont="1" applyFill="1" applyBorder="1" applyAlignment="1" applyProtection="1">
      <alignment horizontal="right" vertical="center" wrapText="1"/>
      <protection locked="0"/>
    </xf>
    <xf numFmtId="172" fontId="22" fillId="6" borderId="14" xfId="6" applyNumberFormat="1" applyFont="1" applyFill="1" applyBorder="1" applyAlignment="1" applyProtection="1">
      <alignment horizontal="right" vertical="center" wrapText="1"/>
      <protection locked="0"/>
    </xf>
    <xf numFmtId="0" fontId="19" fillId="24" borderId="14" xfId="5" applyFont="1" applyFill="1" applyBorder="1" applyAlignment="1">
      <alignment horizontal="center" vertical="center" wrapText="1"/>
    </xf>
    <xf numFmtId="0" fontId="19" fillId="22" borderId="14" xfId="5" applyFont="1" applyFill="1" applyBorder="1" applyAlignment="1">
      <alignment horizontal="center" vertical="center" wrapText="1"/>
    </xf>
    <xf numFmtId="0" fontId="19" fillId="21" borderId="14" xfId="5" applyFont="1" applyFill="1" applyBorder="1" applyAlignment="1">
      <alignment horizontal="center" vertical="center" wrapText="1"/>
    </xf>
    <xf numFmtId="0" fontId="1" fillId="3" borderId="22" xfId="5" applyFont="1" applyFill="1" applyBorder="1" applyAlignment="1">
      <alignment horizontal="center" vertical="center" wrapText="1"/>
    </xf>
    <xf numFmtId="0" fontId="1" fillId="3" borderId="24" xfId="5" applyFont="1" applyFill="1" applyBorder="1" applyAlignment="1">
      <alignment horizontal="center" vertical="center" wrapText="1"/>
    </xf>
    <xf numFmtId="1" fontId="22" fillId="6" borderId="22" xfId="6" applyNumberFormat="1" applyFont="1" applyFill="1" applyBorder="1" applyAlignment="1" applyProtection="1">
      <alignment horizontal="center" vertical="center" wrapText="1"/>
      <protection locked="0"/>
    </xf>
    <xf numFmtId="1" fontId="22" fillId="6" borderId="24" xfId="6" applyNumberFormat="1" applyFont="1" applyFill="1" applyBorder="1" applyAlignment="1" applyProtection="1">
      <alignment horizontal="center" vertical="center" wrapText="1"/>
      <protection locked="0"/>
    </xf>
    <xf numFmtId="0" fontId="46" fillId="0" borderId="14" xfId="0" applyFont="1" applyBorder="1" applyAlignment="1">
      <alignment horizontal="left" vertical="center"/>
    </xf>
    <xf numFmtId="0" fontId="19" fillId="20" borderId="14" xfId="5" applyFont="1" applyFill="1" applyBorder="1" applyAlignment="1">
      <alignment horizontal="center" vertical="center" wrapText="1"/>
    </xf>
    <xf numFmtId="0" fontId="19" fillId="19" borderId="14" xfId="5" applyFont="1" applyFill="1" applyBorder="1" applyAlignment="1">
      <alignment horizontal="center" vertical="center" wrapText="1"/>
    </xf>
    <xf numFmtId="0" fontId="46" fillId="0" borderId="22" xfId="7" applyFont="1" applyBorder="1" applyAlignment="1">
      <alignment horizontal="left" vertical="top" wrapText="1"/>
    </xf>
    <xf numFmtId="0" fontId="46" fillId="0" borderId="24" xfId="7" applyFont="1" applyBorder="1" applyAlignment="1">
      <alignment horizontal="left" vertical="top" wrapText="1"/>
    </xf>
  </cellXfs>
  <cellStyles count="10">
    <cellStyle name="Comma" xfId="1" builtinId="3"/>
    <cellStyle name="Currency" xfId="9" builtinId="4"/>
    <cellStyle name="Hyperlink" xfId="7" builtinId="8"/>
    <cellStyle name="Normal" xfId="0" builtinId="0"/>
    <cellStyle name="Normal_M.03.01.00.03_Master_File" xfId="3" xr:uid="{412337F6-2773-4F22-B128-4FDA8B999FE9}"/>
    <cellStyle name="Normalny 2" xfId="5" xr:uid="{4DD80E33-53A1-468C-AA68-F16D8E0E9694}"/>
    <cellStyle name="Normalny 2 2" xfId="6" xr:uid="{72081E77-A548-44DA-90C6-D24375AB4B10}"/>
    <cellStyle name="Normalny 2 4 12" xfId="8" xr:uid="{67ECCFE5-C1D9-43C0-8021-EF8D86C5D1FD}"/>
    <cellStyle name="Normalny 3" xfId="4" xr:uid="{E1C76382-C142-4DFB-B182-F38774BEA22F}"/>
    <cellStyle name="Per cent" xfId="2" builtinId="5"/>
  </cellStyles>
  <dxfs count="222">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FF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66FF33"/>
        </patternFill>
      </fill>
    </dxf>
    <dxf>
      <fill>
        <patternFill>
          <bgColor rgb="FFFFFF00"/>
        </patternFill>
      </fill>
    </dxf>
    <dxf>
      <font>
        <b/>
        <i val="0"/>
        <color theme="0"/>
      </font>
      <fill>
        <patternFill>
          <bgColor rgb="FFFF0000"/>
        </patternFill>
      </fill>
    </dxf>
    <dxf>
      <fill>
        <patternFill patternType="none">
          <bgColor auto="1"/>
        </patternFill>
      </fill>
    </dxf>
    <dxf>
      <font>
        <b/>
        <i val="0"/>
        <color theme="0"/>
      </font>
      <fill>
        <patternFill>
          <bgColor rgb="FFFF0000"/>
        </patternFill>
      </fill>
    </dxf>
    <dxf>
      <fill>
        <patternFill>
          <bgColor rgb="FFFFFF00"/>
        </patternFill>
      </fill>
    </dxf>
    <dxf>
      <fill>
        <patternFill>
          <bgColor rgb="FF66FF33"/>
        </patternFill>
      </fill>
    </dxf>
    <dxf>
      <fill>
        <patternFill patternType="none">
          <bgColor auto="1"/>
        </patternFill>
      </fill>
    </dxf>
    <dxf>
      <fill>
        <patternFill patternType="none">
          <bgColor auto="1"/>
        </patternFill>
      </fill>
    </dxf>
    <dxf>
      <fill>
        <patternFill>
          <bgColor rgb="FF66FF33"/>
        </patternFill>
      </fill>
    </dxf>
    <dxf>
      <fill>
        <patternFill>
          <bgColor rgb="FFFFFF00"/>
        </patternFill>
      </fill>
    </dxf>
    <dxf>
      <font>
        <b/>
        <i val="0"/>
        <color theme="0"/>
      </font>
      <fill>
        <patternFill>
          <bgColor rgb="FFFF0000"/>
        </patternFill>
      </fill>
    </dxf>
    <dxf>
      <fill>
        <patternFill>
          <bgColor rgb="FF66FF33"/>
        </patternFill>
      </fill>
    </dxf>
    <dxf>
      <fill>
        <patternFill>
          <bgColor rgb="FFFFFF00"/>
        </patternFill>
      </fill>
    </dxf>
    <dxf>
      <font>
        <b/>
        <i val="0"/>
        <color theme="0"/>
      </font>
      <fill>
        <patternFill>
          <bgColor rgb="FFFF0000"/>
        </patternFill>
      </fill>
    </dxf>
    <dxf>
      <fill>
        <patternFill patternType="none">
          <bgColor auto="1"/>
        </patternFill>
      </fill>
    </dxf>
    <dxf>
      <fill>
        <patternFill>
          <bgColor rgb="FFFFFF00"/>
        </patternFill>
      </fill>
    </dxf>
    <dxf>
      <fill>
        <patternFill>
          <bgColor rgb="FF66FF33"/>
        </patternFill>
      </fill>
    </dxf>
    <dxf>
      <font>
        <b/>
        <i val="0"/>
        <color theme="0"/>
      </font>
      <fill>
        <patternFill>
          <bgColor rgb="FFFF0000"/>
        </patternFill>
      </fill>
    </dxf>
    <dxf>
      <fill>
        <patternFill patternType="none">
          <bgColor auto="1"/>
        </patternFill>
      </fill>
    </dxf>
    <dxf>
      <fill>
        <patternFill>
          <bgColor rgb="FF66FF33"/>
        </patternFill>
      </fill>
    </dxf>
    <dxf>
      <fill>
        <patternFill>
          <bgColor rgb="FFFFFF00"/>
        </patternFill>
      </fill>
    </dxf>
    <dxf>
      <font>
        <b/>
        <i val="0"/>
        <color theme="0"/>
      </font>
      <fill>
        <patternFill>
          <bgColor rgb="FFFF0000"/>
        </patternFill>
      </fill>
    </dxf>
    <dxf>
      <fill>
        <patternFill patternType="none">
          <bgColor auto="1"/>
        </patternFill>
      </fill>
    </dxf>
    <dxf>
      <fill>
        <patternFill>
          <bgColor rgb="FF66FF33"/>
        </patternFill>
      </fill>
    </dxf>
    <dxf>
      <fill>
        <patternFill>
          <bgColor rgb="FFFFFF00"/>
        </patternFill>
      </fill>
    </dxf>
    <dxf>
      <font>
        <b/>
        <i val="0"/>
        <color theme="0"/>
      </font>
      <fill>
        <patternFill>
          <bgColor rgb="FFFF0000"/>
        </patternFill>
      </fill>
    </dxf>
    <dxf>
      <fill>
        <patternFill patternType="none">
          <bgColor auto="1"/>
        </patternFill>
      </fill>
    </dxf>
    <dxf>
      <fill>
        <patternFill>
          <bgColor rgb="FFFFFF00"/>
        </patternFill>
      </fill>
    </dxf>
    <dxf>
      <font>
        <b/>
        <i val="0"/>
        <color theme="0"/>
      </font>
      <fill>
        <patternFill>
          <bgColor rgb="FFFF0000"/>
        </patternFill>
      </fill>
    </dxf>
    <dxf>
      <fill>
        <patternFill patternType="none">
          <bgColor auto="1"/>
        </patternFill>
      </fill>
    </dxf>
    <dxf>
      <fill>
        <patternFill>
          <bgColor rgb="FF66FF33"/>
        </patternFill>
      </fill>
    </dxf>
    <dxf>
      <font>
        <b/>
        <i val="0"/>
        <color theme="0"/>
      </font>
      <fill>
        <patternFill>
          <bgColor rgb="FFFF0000"/>
        </patternFill>
      </fill>
    </dxf>
    <dxf>
      <fill>
        <patternFill>
          <bgColor rgb="FFFFFF00"/>
        </patternFill>
      </fill>
    </dxf>
    <dxf>
      <fill>
        <patternFill>
          <bgColor rgb="FF66FF33"/>
        </patternFill>
      </fill>
    </dxf>
    <dxf>
      <fill>
        <patternFill patternType="none">
          <bgColor auto="1"/>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CCBB-4384-9DB6-3533E6C3D9E6}"/>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CCBB-4384-9DB6-3533E6C3D9E6}"/>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2AC2-4E76-AC56-AF4EAB384974}"/>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2AC2-4E76-AC56-AF4EAB384974}"/>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B521-4C53-B944-A7170E2A5267}"/>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B521-4C53-B944-A7170E2A5267}"/>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AA0E-4E17-9575-606D671730D8}"/>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AA0E-4E17-9575-606D671730D8}"/>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tint val="77000"/>
                  </a:schemeClr>
                </a:solidFill>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699C-446B-8414-6BDAEBBDBDBB}"/>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699C-446B-8414-6BDAEBBDBDBB}"/>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l-P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DC61-443C-A8A7-DC1378074C87}"/>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DC61-443C-A8A7-DC1378074C87}"/>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C97A-460A-94B0-589439BE9C96}"/>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C97A-460A-94B0-589439BE9C96}"/>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CBC9-43D7-A9E0-6BA8FE3E74E0}"/>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CBC9-43D7-A9E0-6BA8FE3E74E0}"/>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5713-453D-9AC5-FE4AF5962214}"/>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5713-453D-9AC5-FE4AF5962214}"/>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DD68-442F-8E86-BA5841058E56}"/>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DD68-442F-8E86-BA5841058E56}"/>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0975-4C0E-942F-1CF89F62F778}"/>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0975-4C0E-942F-1CF89F62F778}"/>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9E59-4C99-B6E9-07CF486C771C}"/>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9E59-4C99-B6E9-07CF486C771C}"/>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CAF4-4536-8A37-34812F355620}"/>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CAF4-4536-8A37-34812F355620}"/>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5FE3-4B0D-A1EF-1B812EB2BCBC}"/>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5FE3-4B0D-A1EF-1B812EB2BCBC}"/>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60BB-4D0C-83B2-504304E4B7A9}"/>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60BB-4D0C-83B2-504304E4B7A9}"/>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9A83-4443-AD15-434D11B2C40C}"/>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9A83-4443-AD15-434D11B2C40C}"/>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F4C3-48A2-89DB-C48798EE9615}"/>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F4C3-48A2-89DB-C48798EE9615}"/>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522A-461B-B2F9-741561475EBF}"/>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522A-461B-B2F9-741561475EBF}"/>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9748-48BB-8D77-6D907BD0518A}"/>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9748-48BB-8D77-6D907BD0518A}"/>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DE5C-454B-96B5-8070B866DFCB}"/>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DE5C-454B-96B5-8070B866DFCB}"/>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96E5-4FB0-AB4D-DA4B05565186}"/>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96E5-4FB0-AB4D-DA4B05565186}"/>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4A53-4B42-B3E1-B8EB7D10F40C}"/>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4A53-4B42-B3E1-B8EB7D10F40C}"/>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37CD-4398-90AA-13D1C4C724DC}"/>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37CD-4398-90AA-13D1C4C724DC}"/>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7799-4DC4-976F-849F93EC400B}"/>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7799-4DC4-976F-849F93EC400B}"/>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9248-46DC-926C-386D84099A8F}"/>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9248-46DC-926C-386D84099A8F}"/>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428B-47C9-98FE-640005FF0964}"/>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428B-47C9-98FE-640005FF0964}"/>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D38F-4BAB-B561-C016DAFCB058}"/>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D38F-4BAB-B561-C016DAFCB058}"/>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78AD-4DC5-880F-615E07506BE8}"/>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78AD-4DC5-880F-615E07506BE8}"/>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A156-4CCD-BF19-0EB4D2F49CB5}"/>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A156-4CCD-BF19-0EB4D2F49CB5}"/>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628B-489F-B436-3266F51D2256}"/>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628B-489F-B436-3266F51D2256}"/>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8078-4206-B28F-65F4D3C5A7DC}"/>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8078-4206-B28F-65F4D3C5A7DC}"/>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EB8C-40FF-AA00-A97E7B5B8D60}"/>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EB8C-40FF-AA00-A97E7B5B8D60}"/>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4114-47F0-824E-DD9908EC54B8}"/>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4114-47F0-824E-DD9908EC54B8}"/>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D0D0-41FF-947A-92F5F7122835}"/>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D0D0-41FF-947A-92F5F7122835}"/>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F321-41B8-857C-4092353E9088}"/>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F321-41B8-857C-4092353E9088}"/>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1EE4-45BF-B40D-48218475C893}"/>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1EE4-45BF-B40D-48218475C893}"/>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C51E-47FC-A3DB-85E3FE50E254}"/>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C51E-47FC-A3DB-85E3FE50E254}"/>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C630-4E3E-8BD6-5C4BC11FD195}"/>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C630-4E3E-8BD6-5C4BC11FD195}"/>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D692-496D-9CAC-6EC94F6B0F64}"/>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D692-496D-9CAC-6EC94F6B0F64}"/>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552B-44AC-A2E6-752DA80DE07F}"/>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552B-44AC-A2E6-752DA80DE07F}"/>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4727-44E9-BE46-04177ADAAACF}"/>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4727-44E9-BE46-04177ADAAACF}"/>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713A-4CE7-9D63-A7CB4620154F}"/>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713A-4CE7-9D63-A7CB4620154F}"/>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5A6C-4965-8CFB-357E3A60AEE9}"/>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5A6C-4965-8CFB-357E3A60AEE9}"/>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7E4E-4DF6-9D3F-03B010BDC364}"/>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7E4E-4DF6-9D3F-03B010BDC364}"/>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7BCD-4F56-A4DA-DF26D5E850AB}"/>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7BCD-4F56-A4DA-DF26D5E850AB}"/>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9213-4305-8915-457B1FE3B790}"/>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9213-4305-8915-457B1FE3B790}"/>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8E9C-4EF4-A5CF-23D7DFE137F5}"/>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8E9C-4EF4-A5CF-23D7DFE137F5}"/>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9279-4B46-8F53-56FBB84AFB22}"/>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9279-4B46-8F53-56FBB84AFB22}"/>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1E8C-45AD-9F75-288A1DD983C9}"/>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1E8C-45AD-9F75-288A1DD983C9}"/>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DC81-4C62-8694-264AF3AAEC24}"/>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DC81-4C62-8694-264AF3AAEC24}"/>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48AF-4478-A4F0-B067F08FF331}"/>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48AF-4478-A4F0-B067F08FF331}"/>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5B50-4D0B-9544-6ABD6EBBA367}"/>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5B50-4D0B-9544-6ABD6EBBA367}"/>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3630-4518-B95F-2AC221AA29B1}"/>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3630-4518-B95F-2AC221AA29B1}"/>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25F9-446B-BD84-BA6887A2A4C3}"/>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25F9-446B-BD84-BA6887A2A4C3}"/>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89F7-4DA8-81F7-3D4A117461B9}"/>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89F7-4DA8-81F7-3D4A117461B9}"/>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43F8-431E-AC71-E7459B54B83E}"/>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43F8-431E-AC71-E7459B54B83E}"/>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2985-40D8-9DE4-D639E21900FC}"/>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2985-40D8-9DE4-D639E21900FC}"/>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D6C1-47A5-AF57-E1386FD698F7}"/>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D6C1-47A5-AF57-E1386FD698F7}"/>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CBC8-4955-9035-B8CDA56BAC04}"/>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CBC8-4955-9035-B8CDA56BAC04}"/>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FF06-4835-B1EE-0BA8FE404DEF}"/>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FF06-4835-B1EE-0BA8FE404DEF}"/>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C0A1-4356-87A0-34C087D4421A}"/>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C0A1-4356-87A0-34C087D4421A}"/>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E23E-4D35-8402-1986E99B79E1}"/>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E23E-4D35-8402-1986E99B79E1}"/>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1"/>
          <c:order val="1"/>
          <c:tx>
            <c:v>Result</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lumMod val="50000"/>
                  </a:schemeClr>
                </a:solidFill>
                <a:prstDash val="sysDot"/>
              </a:ln>
              <a:effectLst/>
            </c:spPr>
            <c:trendlineType val="linear"/>
            <c:dispRSqr val="0"/>
            <c:dispEq val="0"/>
          </c:trendline>
          <c:val>
            <c:numRef>
              <c:f>{}</c:f>
            </c:numRef>
          </c:val>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1-0B47-4155-B4E5-B6D44BECE826}"/>
            </c:ext>
          </c:extLst>
        </c:ser>
        <c:dLbls>
          <c:showLegendKey val="0"/>
          <c:showVal val="0"/>
          <c:showCatName val="0"/>
          <c:showSerName val="0"/>
          <c:showPercent val="0"/>
          <c:showBubbleSize val="0"/>
        </c:dLbls>
        <c:gapWidth val="269"/>
        <c:axId val="626070656"/>
        <c:axId val="626071048"/>
      </c:barChart>
      <c:lineChart>
        <c:grouping val="standard"/>
        <c:varyColors val="0"/>
        <c:ser>
          <c:idx val="0"/>
          <c:order val="0"/>
          <c:tx>
            <c:v>Goal</c:v>
          </c:tx>
          <c:spPr>
            <a:ln w="34925" cap="rnd">
              <a:solidFill>
                <a:schemeClr val="accent1">
                  <a:shade val="76000"/>
                </a:schemeClr>
              </a:solidFill>
              <a:round/>
            </a:ln>
            <a:effectLst>
              <a:outerShdw blurRad="40000" dist="23000" dir="5400000" rotWithShape="0">
                <a:srgbClr val="000000">
                  <a:alpha val="35000"/>
                </a:srgbClr>
              </a:outerShdw>
            </a:effectLst>
          </c:spPr>
          <c:marker>
            <c:symbol val="none"/>
          </c:marker>
          <c:val>
            <c:numRef>
              <c:f>{}</c:f>
            </c:numRef>
          </c:val>
          <c:smooth val="0"/>
          <c:extLst>
            <c:ext xmlns:c15="http://schemas.microsoft.com/office/drawing/2012/chart" uri="{02D57815-91ED-43cb-92C2-25804820EDAC}">
              <c15:filteredCategoryTitle>
                <c15:cat>
                  <c:multiLvlStrRef>
                    <c:extLst>
                      <c:ext uri="{02D57815-91ED-43cb-92C2-25804820EDAC}">
                        <c15:formulaRef>
                          <c15:sqref>}</c15:sqref>
                        </c15:formulaRef>
                      </c:ext>
                    </c:extLst>
                  </c:multiLvlStrRef>
                </c15:cat>
              </c15:filteredCategoryTitle>
            </c:ext>
            <c:ext xmlns:c16="http://schemas.microsoft.com/office/drawing/2014/chart" uri="{C3380CC4-5D6E-409C-BE32-E72D297353CC}">
              <c16:uniqueId val="{00000002-0B47-4155-B4E5-B6D44BECE826}"/>
            </c:ext>
          </c:extLst>
        </c:ser>
        <c:dLbls>
          <c:showLegendKey val="0"/>
          <c:showVal val="0"/>
          <c:showCatName val="0"/>
          <c:showSerName val="0"/>
          <c:showPercent val="0"/>
          <c:showBubbleSize val="0"/>
        </c:dLbls>
        <c:marker val="1"/>
        <c:smooth val="0"/>
        <c:axId val="626070656"/>
        <c:axId val="626071048"/>
      </c:lineChart>
      <c:catAx>
        <c:axId val="626070656"/>
        <c:scaling>
          <c:orientation val="minMax"/>
        </c:scaling>
        <c:delete val="0"/>
        <c:axPos val="b"/>
        <c:numFmt formatCode="[$-409]mmm\ yy;@"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1048"/>
        <c:crosses val="autoZero"/>
        <c:auto val="1"/>
        <c:lblAlgn val="ctr"/>
        <c:lblOffset val="100"/>
        <c:noMultiLvlLbl val="1"/>
      </c:catAx>
      <c:valAx>
        <c:axId val="6260710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607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withinLinear" id="14">
  <a:schemeClr val="accent1"/>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withinLinear" id="14">
  <a:schemeClr val="accent1"/>
</cs:colorStyle>
</file>

<file path=xl/charts/colors27.xml><?xml version="1.0" encoding="utf-8"?>
<cs:colorStyle xmlns:cs="http://schemas.microsoft.com/office/drawing/2012/chartStyle" xmlns:a="http://schemas.openxmlformats.org/drawingml/2006/main" meth="withinLinear" id="14">
  <a:schemeClr val="accent1"/>
</cs:colorStyle>
</file>

<file path=xl/charts/colors28.xml><?xml version="1.0" encoding="utf-8"?>
<cs:colorStyle xmlns:cs="http://schemas.microsoft.com/office/drawing/2012/chartStyle" xmlns:a="http://schemas.openxmlformats.org/drawingml/2006/main" meth="withinLinear" id="14">
  <a:schemeClr val="accent1"/>
</cs:colorStyle>
</file>

<file path=xl/charts/colors29.xml><?xml version="1.0" encoding="utf-8"?>
<cs:colorStyle xmlns:cs="http://schemas.microsoft.com/office/drawing/2012/chartStyle" xmlns:a="http://schemas.openxmlformats.org/drawingml/2006/main" meth="withinLinear" id="14">
  <a:schemeClr val="accent1"/>
</cs:colorStyle>
</file>

<file path=xl/charts/colors30.xml><?xml version="1.0" encoding="utf-8"?>
<cs:colorStyle xmlns:cs="http://schemas.microsoft.com/office/drawing/2012/chartStyle" xmlns:a="http://schemas.openxmlformats.org/drawingml/2006/main" meth="withinLinear" id="14">
  <a:schemeClr val="accent1"/>
</cs:colorStyle>
</file>

<file path=xl/charts/colors31.xml><?xml version="1.0" encoding="utf-8"?>
<cs:colorStyle xmlns:cs="http://schemas.microsoft.com/office/drawing/2012/chartStyle" xmlns:a="http://schemas.openxmlformats.org/drawingml/2006/main" meth="withinLinear" id="14">
  <a:schemeClr val="accent1"/>
</cs:colorStyle>
</file>

<file path=xl/charts/colors32.xml><?xml version="1.0" encoding="utf-8"?>
<cs:colorStyle xmlns:cs="http://schemas.microsoft.com/office/drawing/2012/chartStyle" xmlns:a="http://schemas.openxmlformats.org/drawingml/2006/main" meth="withinLinear" id="14">
  <a:schemeClr val="accent1"/>
</cs:colorStyle>
</file>

<file path=xl/charts/colors33.xml><?xml version="1.0" encoding="utf-8"?>
<cs:colorStyle xmlns:cs="http://schemas.microsoft.com/office/drawing/2012/chartStyle" xmlns:a="http://schemas.openxmlformats.org/drawingml/2006/main" meth="withinLinear" id="14">
  <a:schemeClr val="accent1"/>
</cs:colorStyle>
</file>

<file path=xl/charts/colors34.xml><?xml version="1.0" encoding="utf-8"?>
<cs:colorStyle xmlns:cs="http://schemas.microsoft.com/office/drawing/2012/chartStyle" xmlns:a="http://schemas.openxmlformats.org/drawingml/2006/main" meth="withinLinear" id="14">
  <a:schemeClr val="accent1"/>
</cs:colorStyle>
</file>

<file path=xl/charts/colors35.xml><?xml version="1.0" encoding="utf-8"?>
<cs:colorStyle xmlns:cs="http://schemas.microsoft.com/office/drawing/2012/chartStyle" xmlns:a="http://schemas.openxmlformats.org/drawingml/2006/main" meth="withinLinear" id="14">
  <a:schemeClr val="accent1"/>
</cs:colorStyle>
</file>

<file path=xl/charts/colors36.xml><?xml version="1.0" encoding="utf-8"?>
<cs:colorStyle xmlns:cs="http://schemas.microsoft.com/office/drawing/2012/chartStyle" xmlns:a="http://schemas.openxmlformats.org/drawingml/2006/main" meth="withinLinear" id="14">
  <a:schemeClr val="accent1"/>
</cs:colorStyle>
</file>

<file path=xl/charts/colors37.xml><?xml version="1.0" encoding="utf-8"?>
<cs:colorStyle xmlns:cs="http://schemas.microsoft.com/office/drawing/2012/chartStyle" xmlns:a="http://schemas.openxmlformats.org/drawingml/2006/main" meth="withinLinear" id="14">
  <a:schemeClr val="accent1"/>
</cs:colorStyle>
</file>

<file path=xl/charts/colors38.xml><?xml version="1.0" encoding="utf-8"?>
<cs:colorStyle xmlns:cs="http://schemas.microsoft.com/office/drawing/2012/chartStyle" xmlns:a="http://schemas.openxmlformats.org/drawingml/2006/main" meth="withinLinear" id="14">
  <a:schemeClr val="accent1"/>
</cs:colorStyle>
</file>

<file path=xl/charts/colors39.xml><?xml version="1.0" encoding="utf-8"?>
<cs:colorStyle xmlns:cs="http://schemas.microsoft.com/office/drawing/2012/chartStyle" xmlns:a="http://schemas.openxmlformats.org/drawingml/2006/main" meth="withinLinear" id="14">
  <a:schemeClr val="accent1"/>
</cs:colorStyle>
</file>

<file path=xl/charts/colors40.xml><?xml version="1.0" encoding="utf-8"?>
<cs:colorStyle xmlns:cs="http://schemas.microsoft.com/office/drawing/2012/chartStyle" xmlns:a="http://schemas.openxmlformats.org/drawingml/2006/main" meth="withinLinear" id="14">
  <a:schemeClr val="accent1"/>
</cs:colorStyle>
</file>

<file path=xl/charts/colors41.xml><?xml version="1.0" encoding="utf-8"?>
<cs:colorStyle xmlns:cs="http://schemas.microsoft.com/office/drawing/2012/chartStyle" xmlns:a="http://schemas.openxmlformats.org/drawingml/2006/main" meth="withinLinear" id="14">
  <a:schemeClr val="accent1"/>
</cs:colorStyle>
</file>

<file path=xl/charts/colors42.xml><?xml version="1.0" encoding="utf-8"?>
<cs:colorStyle xmlns:cs="http://schemas.microsoft.com/office/drawing/2012/chartStyle" xmlns:a="http://schemas.openxmlformats.org/drawingml/2006/main" meth="withinLinear" id="14">
  <a:schemeClr val="accent1"/>
</cs:colorStyle>
</file>

<file path=xl/charts/colors43.xml><?xml version="1.0" encoding="utf-8"?>
<cs:colorStyle xmlns:cs="http://schemas.microsoft.com/office/drawing/2012/chartStyle" xmlns:a="http://schemas.openxmlformats.org/drawingml/2006/main" meth="withinLinear" id="14">
  <a:schemeClr val="accent1"/>
</cs:colorStyle>
</file>

<file path=xl/charts/colors44.xml><?xml version="1.0" encoding="utf-8"?>
<cs:colorStyle xmlns:cs="http://schemas.microsoft.com/office/drawing/2012/chartStyle" xmlns:a="http://schemas.openxmlformats.org/drawingml/2006/main" meth="withinLinear" id="14">
  <a:schemeClr val="accent1"/>
</cs:colorStyle>
</file>

<file path=xl/charts/colors45.xml><?xml version="1.0" encoding="utf-8"?>
<cs:colorStyle xmlns:cs="http://schemas.microsoft.com/office/drawing/2012/chartStyle" xmlns:a="http://schemas.openxmlformats.org/drawingml/2006/main" meth="withinLinear" id="14">
  <a:schemeClr val="accent1"/>
</cs:colorStyle>
</file>

<file path=xl/charts/colors46.xml><?xml version="1.0" encoding="utf-8"?>
<cs:colorStyle xmlns:cs="http://schemas.microsoft.com/office/drawing/2012/chartStyle" xmlns:a="http://schemas.openxmlformats.org/drawingml/2006/main" meth="withinLinear" id="14">
  <a:schemeClr val="accent1"/>
</cs:colorStyle>
</file>

<file path=xl/charts/colors47.xml><?xml version="1.0" encoding="utf-8"?>
<cs:colorStyle xmlns:cs="http://schemas.microsoft.com/office/drawing/2012/chartStyle" xmlns:a="http://schemas.openxmlformats.org/drawingml/2006/main" meth="withinLinear" id="14">
  <a:schemeClr val="accent1"/>
</cs:colorStyle>
</file>

<file path=xl/charts/colors48.xml><?xml version="1.0" encoding="utf-8"?>
<cs:colorStyle xmlns:cs="http://schemas.microsoft.com/office/drawing/2012/chartStyle" xmlns:a="http://schemas.openxmlformats.org/drawingml/2006/main" meth="withinLinear" id="14">
  <a:schemeClr val="accent1"/>
</cs:colorStyle>
</file>

<file path=xl/charts/colors49.xml><?xml version="1.0" encoding="utf-8"?>
<cs:colorStyle xmlns:cs="http://schemas.microsoft.com/office/drawing/2012/chartStyle" xmlns:a="http://schemas.openxmlformats.org/drawingml/2006/main" meth="withinLinear" id="14">
  <a:schemeClr val="accent1"/>
</cs:colorStyle>
</file>

<file path=xl/charts/colors50.xml><?xml version="1.0" encoding="utf-8"?>
<cs:colorStyle xmlns:cs="http://schemas.microsoft.com/office/drawing/2012/chartStyle" xmlns:a="http://schemas.openxmlformats.org/drawingml/2006/main" meth="withinLinear" id="14">
  <a:schemeClr val="accent1"/>
</cs:colorStyle>
</file>

<file path=xl/charts/colors51.xml><?xml version="1.0" encoding="utf-8"?>
<cs:colorStyle xmlns:cs="http://schemas.microsoft.com/office/drawing/2012/chartStyle" xmlns:a="http://schemas.openxmlformats.org/drawingml/2006/main" meth="withinLinear" id="14">
  <a:schemeClr val="accent1"/>
</cs:colorStyle>
</file>

<file path=xl/charts/colors52.xml><?xml version="1.0" encoding="utf-8"?>
<cs:colorStyle xmlns:cs="http://schemas.microsoft.com/office/drawing/2012/chartStyle" xmlns:a="http://schemas.openxmlformats.org/drawingml/2006/main" meth="withinLinear" id="14">
  <a:schemeClr val="accent1"/>
</cs:colorStyle>
</file>

<file path=xl/charts/colors53.xml><?xml version="1.0" encoding="utf-8"?>
<cs:colorStyle xmlns:cs="http://schemas.microsoft.com/office/drawing/2012/chartStyle" xmlns:a="http://schemas.openxmlformats.org/drawingml/2006/main" meth="withinLinear" id="14">
  <a:schemeClr val="accent1"/>
</cs:colorStyle>
</file>

<file path=xl/charts/colors54.xml><?xml version="1.0" encoding="utf-8"?>
<cs:colorStyle xmlns:cs="http://schemas.microsoft.com/office/drawing/2012/chartStyle" xmlns:a="http://schemas.openxmlformats.org/drawingml/2006/main" meth="withinLinear" id="14">
  <a:schemeClr val="accent1"/>
</cs:colorStyle>
</file>

<file path=xl/charts/colors55.xml><?xml version="1.0" encoding="utf-8"?>
<cs:colorStyle xmlns:cs="http://schemas.microsoft.com/office/drawing/2012/chartStyle" xmlns:a="http://schemas.openxmlformats.org/drawingml/2006/main" meth="withinLinear" id="14">
  <a:schemeClr val="accent1"/>
</cs:colorStyle>
</file>

<file path=xl/charts/colors56.xml><?xml version="1.0" encoding="utf-8"?>
<cs:colorStyle xmlns:cs="http://schemas.microsoft.com/office/drawing/2012/chartStyle" xmlns:a="http://schemas.openxmlformats.org/drawingml/2006/main" meth="withinLinear" id="14">
  <a:schemeClr val="accent1"/>
</cs:colorStyle>
</file>

<file path=xl/charts/colors57.xml><?xml version="1.0" encoding="utf-8"?>
<cs:colorStyle xmlns:cs="http://schemas.microsoft.com/office/drawing/2012/chartStyle" xmlns:a="http://schemas.openxmlformats.org/drawingml/2006/main" meth="withinLinear" id="14">
  <a:schemeClr val="accent1"/>
</cs:colorStyle>
</file>

<file path=xl/charts/colors58.xml><?xml version="1.0" encoding="utf-8"?>
<cs:colorStyle xmlns:cs="http://schemas.microsoft.com/office/drawing/2012/chartStyle" xmlns:a="http://schemas.openxmlformats.org/drawingml/2006/main" meth="withinLinear" id="14">
  <a:schemeClr val="accent1"/>
</cs:colorStyle>
</file>

<file path=xl/charts/colors59.xml><?xml version="1.0" encoding="utf-8"?>
<cs:colorStyle xmlns:cs="http://schemas.microsoft.com/office/drawing/2012/chartStyle" xmlns:a="http://schemas.openxmlformats.org/drawingml/2006/main" meth="withinLinear" id="14">
  <a:schemeClr val="accent1"/>
</cs:colorStyle>
</file>

<file path=xl/charts/colors60.xml><?xml version="1.0" encoding="utf-8"?>
<cs:colorStyle xmlns:cs="http://schemas.microsoft.com/office/drawing/2012/chartStyle" xmlns:a="http://schemas.openxmlformats.org/drawingml/2006/main" meth="withinLinear" id="14">
  <a:schemeClr val="accent1"/>
</cs:colorStyle>
</file>

<file path=xl/charts/colors61.xml><?xml version="1.0" encoding="utf-8"?>
<cs:colorStyle xmlns:cs="http://schemas.microsoft.com/office/drawing/2012/chartStyle" xmlns:a="http://schemas.openxmlformats.org/drawingml/2006/main" meth="withinLinear" id="14">
  <a:schemeClr val="accent1"/>
</cs:colorStyle>
</file>

<file path=xl/charts/colors62.xml><?xml version="1.0" encoding="utf-8"?>
<cs:colorStyle xmlns:cs="http://schemas.microsoft.com/office/drawing/2012/chartStyle" xmlns:a="http://schemas.openxmlformats.org/drawingml/2006/main" meth="withinLinear" id="14">
  <a:schemeClr val="accent1"/>
</cs:colorStyle>
</file>

<file path=xl/charts/colors6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5.xml"/><Relationship Id="rId1" Type="http://schemas.openxmlformats.org/officeDocument/2006/relationships/chart" Target="../charts/chart44.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7.xml"/><Relationship Id="rId1" Type="http://schemas.openxmlformats.org/officeDocument/2006/relationships/chart" Target="../charts/chart46.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9.xml"/><Relationship Id="rId1" Type="http://schemas.openxmlformats.org/officeDocument/2006/relationships/chart" Target="../charts/chart48.xml"/></Relationships>
</file>

<file path=xl/drawings/_rels/drawing25.xml.rels><?xml version="1.0" encoding="UTF-8" standalone="yes"?>
<Relationships xmlns="http://schemas.openxmlformats.org/package/2006/relationships"><Relationship Id="rId2" Type="http://schemas.openxmlformats.org/officeDocument/2006/relationships/chart" Target="../charts/chart51.xml"/><Relationship Id="rId1" Type="http://schemas.openxmlformats.org/officeDocument/2006/relationships/chart" Target="../charts/chart50.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53.xml"/><Relationship Id="rId1" Type="http://schemas.openxmlformats.org/officeDocument/2006/relationships/chart" Target="../charts/chart52.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55.xml"/><Relationship Id="rId1" Type="http://schemas.openxmlformats.org/officeDocument/2006/relationships/chart" Target="../charts/chart54.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57.xml"/><Relationship Id="rId1" Type="http://schemas.openxmlformats.org/officeDocument/2006/relationships/chart" Target="../charts/chart56.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59.xml"/><Relationship Id="rId1" Type="http://schemas.openxmlformats.org/officeDocument/2006/relationships/chart" Target="../charts/chart58.xml"/></Relationships>
</file>

<file path=xl/drawings/_rels/drawing30.xml.rels><?xml version="1.0" encoding="UTF-8" standalone="yes"?>
<Relationships xmlns="http://schemas.openxmlformats.org/package/2006/relationships"><Relationship Id="rId2" Type="http://schemas.openxmlformats.org/officeDocument/2006/relationships/chart" Target="../charts/chart61.xml"/><Relationship Id="rId1" Type="http://schemas.openxmlformats.org/officeDocument/2006/relationships/chart" Target="../charts/chart60.xml"/></Relationships>
</file>

<file path=xl/drawings/_rels/drawing31.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99060</xdr:rowOff>
    </xdr:to>
    <xdr:graphicFrame macro="">
      <xdr:nvGraphicFramePr>
        <xdr:cNvPr id="2" name="Chart 4">
          <a:extLst>
            <a:ext uri="{FF2B5EF4-FFF2-40B4-BE49-F238E27FC236}">
              <a16:creationId xmlns:a16="http://schemas.microsoft.com/office/drawing/2014/main" id="{C548F16A-0823-4380-91F6-324379267D61}"/>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1EBEB3F4-9E42-4E17-AC83-34ADA3B7F7B7}"/>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2E74949E-41B6-47B1-9D5D-3FDFBAA6E17D}"/>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85725</xdr:rowOff>
    </xdr:from>
    <xdr:to>
      <xdr:col>10</xdr:col>
      <xdr:colOff>560916</xdr:colOff>
      <xdr:row>21</xdr:row>
      <xdr:rowOff>185738</xdr:rowOff>
    </xdr:to>
    <xdr:graphicFrame macro="">
      <xdr:nvGraphicFramePr>
        <xdr:cNvPr id="3" name="Chart 4">
          <a:extLst>
            <a:ext uri="{FF2B5EF4-FFF2-40B4-BE49-F238E27FC236}">
              <a16:creationId xmlns:a16="http://schemas.microsoft.com/office/drawing/2014/main" id="{647548AC-CC92-46DF-A275-8429B7D1D01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4" name="Chart 4">
          <a:extLst>
            <a:ext uri="{FF2B5EF4-FFF2-40B4-BE49-F238E27FC236}">
              <a16:creationId xmlns:a16="http://schemas.microsoft.com/office/drawing/2014/main" id="{F9316FD4-6A87-4BB3-B16E-D535BE4F448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AD3B323B-FFBD-451F-940C-710B3C7875B8}"/>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67D48FFC-9326-43EF-A783-90B0561022D5}"/>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B519AC9D-7258-4ED8-A78A-649BC5B73A87}"/>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FC2E1BF9-8776-475D-9280-B48BF165C96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9E0E127C-410A-45B9-AE06-7FFF3ADB40A0}"/>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59B9EBCE-E6E6-4D27-9681-C44760245F97}"/>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C6AC847F-768E-44A9-8E94-FB6B7CD785C1}"/>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81E81F02-CFC5-4D02-B32B-4C63D14E65F9}"/>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81DFCD1B-8006-42D1-B867-1ADA58ED32D6}"/>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59FCF05D-ECA2-4C40-9A87-7D9C446B7196}"/>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6517896D-9C30-4FD2-AC4F-36F832AEA2D7}"/>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B69C8321-AF07-4185-A141-600417C6A752}"/>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D67600C0-785E-41E6-83EA-E435627375D9}"/>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716E1677-7972-4F61-BEEC-5C0FBD2D93D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89359A3D-FE45-4ABC-A8F2-994AFE6B7A07}"/>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97981F21-B79C-4D29-B1E3-2419EAEF6DE6}"/>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CA187C77-29F1-4D67-8789-4C1308CC7EE7}"/>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3A15B564-9879-49BC-BDB2-B990111A1B51}"/>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2C06AD47-D473-4895-8A09-C51E56606123}"/>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55BE6E9E-BFC8-4C0F-9974-06C2B837BC61}"/>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07DAB59B-EE4A-4F92-AAE4-BD8DF381953B}"/>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32C423E2-1CD9-4AA9-B591-5D1BD3DE23F8}"/>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A62DD226-2115-4940-96ED-F4A389E6C717}"/>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114251E2-562B-4676-97D6-79DDC52DF01F}"/>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898E02BE-680B-4D4B-BBFD-1C2CE4BA396D}"/>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F6FF814D-14E2-49CD-8433-B29E0D1ABE22}"/>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694BC82E-4BB1-4EDF-B803-7EB2EFEE1E04}"/>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89C3C236-A495-4B8F-A4C4-1610BFF928B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672EF772-0F4C-4A65-81B8-9E81457E0F36}"/>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7D21864C-235D-4F39-A220-933E65F00818}"/>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915AB1A4-412C-4ECD-831D-64EFA6C45834}"/>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6B7F9789-8884-45A7-A010-E333E8D4459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8DAED703-F3C1-4A2D-9AFE-DC226560F59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FBE87356-39CA-4788-A455-8B2685A3DA30}"/>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B8143411-6565-4176-B49B-2C0A5BBE7A5A}"/>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6E262B6A-DD00-4DF2-AAA9-26D92FB842D1}"/>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5FBE58B6-7168-42ED-9F74-72D2B617010D}"/>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011EA6DB-D2D3-4B36-B6BA-4EA29FA8DE04}"/>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94E4F735-2F7B-4484-8F21-B41CF48C542D}"/>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23D4F823-BD59-47F1-84AD-8901A648B594}"/>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8F7F7E3B-4617-4E36-99A6-D1B0148B2BCC}"/>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506E6B5A-BD6D-47E3-8815-B24359BFA48B}"/>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522961C8-FF34-4E7C-9A3A-9BE5EA921560}"/>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45A120F6-9493-4CB8-ADBA-3BE7EE57A6AA}"/>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7A5FCC12-4D79-49ED-87C0-845A812A3863}"/>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747E6A9C-564A-4EA2-AB61-CBED9656514A}"/>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5909B2FC-BD68-4A97-B9F3-2DA044BDDD0F}"/>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37494A6C-A572-4A6C-A9EC-F17EF77755F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291FFAF8-3979-4232-91D8-FD4D2D707E64}"/>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860F1305-142B-4838-85AB-E83D12A519C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D18CB5A4-9DB7-4C16-BE29-F838BD1DFD10}"/>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3747F51C-B941-4E1A-B90A-8A08F326F2CE}"/>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2D07E2B3-CE4B-4BF0-A131-DE2623E19FEF}"/>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27BA4A97-AD9C-4387-81C9-2AE8B5955174}"/>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9934D56B-2B7C-4E86-9E0C-9E39EB7D9118}"/>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5117095B-9269-40D1-BDDB-22827117784C}"/>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2</xdr:row>
      <xdr:rowOff>85725</xdr:rowOff>
    </xdr:from>
    <xdr:to>
      <xdr:col>10</xdr:col>
      <xdr:colOff>560916</xdr:colOff>
      <xdr:row>21</xdr:row>
      <xdr:rowOff>185738</xdr:rowOff>
    </xdr:to>
    <xdr:graphicFrame macro="">
      <xdr:nvGraphicFramePr>
        <xdr:cNvPr id="2" name="Chart 4">
          <a:extLst>
            <a:ext uri="{FF2B5EF4-FFF2-40B4-BE49-F238E27FC236}">
              <a16:creationId xmlns:a16="http://schemas.microsoft.com/office/drawing/2014/main" id="{1AA6E0E5-EBB5-4A9A-ABE0-BE577B28D5F4}"/>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24765</xdr:rowOff>
    </xdr:from>
    <xdr:to>
      <xdr:col>10</xdr:col>
      <xdr:colOff>1127760</xdr:colOff>
      <xdr:row>21</xdr:row>
      <xdr:rowOff>124778</xdr:rowOff>
    </xdr:to>
    <xdr:graphicFrame macro="">
      <xdr:nvGraphicFramePr>
        <xdr:cNvPr id="3" name="Chart 4">
          <a:extLst>
            <a:ext uri="{FF2B5EF4-FFF2-40B4-BE49-F238E27FC236}">
              <a16:creationId xmlns:a16="http://schemas.microsoft.com/office/drawing/2014/main" id="{561B7CFB-E585-4A64-AB08-4B8B6D6BDB00}"/>
            </a:ext>
            <a:ext uri="{147F2762-F138-4A5C-976F-8EAC2B608ADB}">
              <a16:predDERef xmlns:a16="http://schemas.microsoft.com/office/drawing/2014/main" pred="{25AD8D1A-210D-4B27-8833-A791032B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b77consulting-my.sharepoint.com/Users/piotrwisniewski/Desktop/C:/Users/konra/Downloads/wska&#378;niki_final_text_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91AC9-90D2-4398-8884-EB6911E76AD2}">
  <dimension ref="A1:IX306"/>
  <sheetViews>
    <sheetView showGridLines="0" tabSelected="1" topLeftCell="B2" zoomScale="89" zoomScaleNormal="70" workbookViewId="0">
      <selection activeCell="E9" sqref="E9:E10"/>
    </sheetView>
  </sheetViews>
  <sheetFormatPr baseColWidth="10" defaultColWidth="8.6640625" defaultRowHeight="26" outlineLevelRow="1" outlineLevelCol="1"/>
  <cols>
    <col min="1" max="1" width="25.83203125" style="60" hidden="1" customWidth="1" outlineLevel="1"/>
    <col min="2" max="2" width="33.83203125" customWidth="1" collapsed="1"/>
    <col min="3" max="3" width="45.6640625" customWidth="1"/>
    <col min="4" max="4" width="7.5" style="74" customWidth="1"/>
    <col min="5" max="5" width="104.5" style="77" customWidth="1"/>
    <col min="6" max="6" width="66.1640625" style="77" customWidth="1"/>
    <col min="7" max="7" width="79.83203125" style="77" customWidth="1"/>
    <col min="8" max="8" width="12" customWidth="1"/>
    <col min="9" max="9" width="14.5" customWidth="1"/>
    <col min="10" max="10" width="16" customWidth="1"/>
    <col min="11" max="11" width="26.5" hidden="1" customWidth="1"/>
    <col min="12" max="12" width="15.6640625" style="52" customWidth="1"/>
    <col min="13" max="13" width="14.6640625" hidden="1" customWidth="1" outlineLevel="1"/>
    <col min="14" max="14" width="9.1640625" bestFit="1" customWidth="1" collapsed="1"/>
    <col min="15" max="15" width="10.1640625" bestFit="1" customWidth="1"/>
    <col min="16" max="16" width="21.5" bestFit="1" customWidth="1"/>
    <col min="17" max="24" width="14.5" customWidth="1"/>
    <col min="25" max="25" width="17.5" bestFit="1" customWidth="1"/>
    <col min="26" max="26" width="14.1640625" bestFit="1" customWidth="1"/>
    <col min="27" max="27" width="14.6640625" bestFit="1" customWidth="1"/>
    <col min="28" max="28" width="14.5" bestFit="1" customWidth="1"/>
  </cols>
  <sheetData>
    <row r="1" spans="1:258" s="1" customFormat="1" ht="22.5" customHeight="1">
      <c r="A1" s="56"/>
      <c r="B1" s="163" t="s">
        <v>1</v>
      </c>
      <c r="C1" s="163"/>
      <c r="D1" s="163"/>
      <c r="E1" s="163"/>
      <c r="F1" s="163"/>
      <c r="G1" s="163"/>
      <c r="H1" s="163"/>
      <c r="I1" s="163"/>
      <c r="J1" s="163"/>
      <c r="K1" s="163"/>
      <c r="L1" s="163"/>
      <c r="M1" s="163"/>
      <c r="N1" s="163"/>
      <c r="O1" s="163"/>
      <c r="P1" s="163"/>
      <c r="Q1" s="163"/>
      <c r="R1" s="163"/>
      <c r="S1" s="163"/>
      <c r="T1" s="163"/>
      <c r="U1" s="163"/>
      <c r="V1" s="163"/>
      <c r="W1" s="163"/>
      <c r="X1" s="163"/>
      <c r="Y1" s="164"/>
      <c r="Z1" s="148" t="s">
        <v>2</v>
      </c>
      <c r="AA1" s="149"/>
      <c r="AB1" s="152" t="s">
        <v>3</v>
      </c>
    </row>
    <row r="2" spans="1:258" s="1" customFormat="1" ht="22.5" customHeight="1">
      <c r="A2" s="56"/>
      <c r="B2" s="165"/>
      <c r="C2" s="165"/>
      <c r="D2" s="165"/>
      <c r="E2" s="165"/>
      <c r="F2" s="165"/>
      <c r="G2" s="165"/>
      <c r="H2" s="165"/>
      <c r="I2" s="165"/>
      <c r="J2" s="165"/>
      <c r="K2" s="165"/>
      <c r="L2" s="165"/>
      <c r="M2" s="165"/>
      <c r="N2" s="165"/>
      <c r="O2" s="165"/>
      <c r="P2" s="165"/>
      <c r="Q2" s="165"/>
      <c r="R2" s="165"/>
      <c r="S2" s="165"/>
      <c r="T2" s="165"/>
      <c r="U2" s="165"/>
      <c r="V2" s="165"/>
      <c r="W2" s="165"/>
      <c r="X2" s="165"/>
      <c r="Y2" s="166"/>
      <c r="Z2" s="150"/>
      <c r="AA2" s="151"/>
      <c r="AB2" s="153"/>
    </row>
    <row r="3" spans="1:258" s="5" customFormat="1" ht="13.5" customHeight="1">
      <c r="A3" s="57"/>
      <c r="C3" s="61"/>
      <c r="D3" s="3"/>
      <c r="E3" s="75"/>
      <c r="F3" s="75"/>
      <c r="G3" s="75"/>
      <c r="H3" s="2"/>
      <c r="I3" s="2"/>
      <c r="J3" s="2"/>
      <c r="K3" s="2"/>
      <c r="L3" s="50"/>
      <c r="M3" s="2"/>
      <c r="N3" s="2"/>
      <c r="O3" s="3"/>
      <c r="P3" s="3"/>
      <c r="Q3" s="3"/>
      <c r="R3" s="3"/>
      <c r="S3" s="3"/>
      <c r="T3" s="3"/>
      <c r="U3" s="3"/>
      <c r="V3" s="3"/>
      <c r="W3" s="3"/>
      <c r="X3" s="3"/>
      <c r="Y3" s="3"/>
      <c r="Z3" s="3"/>
      <c r="AA3" s="3"/>
      <c r="AB3" s="4"/>
    </row>
    <row r="4" spans="1:258" s="12" customFormat="1" ht="21.75" customHeight="1">
      <c r="A4" s="58"/>
      <c r="C4" s="154" t="s">
        <v>4</v>
      </c>
      <c r="D4" s="65"/>
      <c r="E4" s="155"/>
      <c r="F4" s="96"/>
      <c r="G4" s="96"/>
      <c r="H4" s="6"/>
      <c r="I4" s="6"/>
      <c r="J4" s="6"/>
      <c r="K4" s="7"/>
      <c r="L4" s="51"/>
      <c r="M4" s="7"/>
      <c r="N4" s="7"/>
      <c r="O4" s="7"/>
      <c r="P4" s="156" t="s">
        <v>5</v>
      </c>
      <c r="Q4" s="156"/>
      <c r="R4" s="157">
        <v>2024</v>
      </c>
      <c r="S4" s="157"/>
      <c r="T4" s="157"/>
      <c r="U4" s="8">
        <f ca="1">TODAY()</f>
        <v>46270</v>
      </c>
      <c r="V4" s="9"/>
      <c r="W4" s="158" t="s">
        <v>6</v>
      </c>
      <c r="X4" s="158"/>
      <c r="Y4" s="158"/>
      <c r="Z4" s="157"/>
      <c r="AA4" s="157"/>
      <c r="AB4" s="159"/>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row>
    <row r="5" spans="1:258" s="12" customFormat="1" ht="21.75" customHeight="1">
      <c r="A5" s="58"/>
      <c r="C5" s="154"/>
      <c r="D5" s="65"/>
      <c r="E5" s="155"/>
      <c r="F5" s="96"/>
      <c r="G5" s="96"/>
      <c r="H5" s="13"/>
      <c r="I5" s="13"/>
      <c r="J5" s="13"/>
      <c r="K5" s="7"/>
      <c r="L5" s="51"/>
      <c r="M5" s="7"/>
      <c r="N5" s="7"/>
      <c r="O5" s="7"/>
      <c r="P5" s="156" t="s">
        <v>7</v>
      </c>
      <c r="Q5" s="156"/>
      <c r="R5" s="160"/>
      <c r="S5" s="160"/>
      <c r="T5" s="160"/>
      <c r="U5" s="9"/>
      <c r="V5" s="9"/>
      <c r="W5" s="158"/>
      <c r="X5" s="158"/>
      <c r="Y5" s="158"/>
      <c r="Z5" s="161"/>
      <c r="AA5" s="161"/>
      <c r="AB5" s="162"/>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row>
    <row r="6" spans="1:258" s="5" customFormat="1" ht="17.25" customHeight="1">
      <c r="A6" s="59" t="s">
        <v>101</v>
      </c>
      <c r="B6" s="63"/>
      <c r="C6" s="62"/>
      <c r="D6" s="64"/>
      <c r="E6" s="76"/>
      <c r="F6" s="76"/>
      <c r="G6" s="76"/>
      <c r="H6" s="2"/>
      <c r="I6" s="2"/>
      <c r="J6" s="2"/>
      <c r="K6" s="2"/>
      <c r="L6" s="50"/>
      <c r="M6" s="2"/>
      <c r="N6" s="2"/>
      <c r="O6" s="3"/>
      <c r="P6" s="3"/>
      <c r="Q6" s="3"/>
      <c r="R6" s="3"/>
      <c r="S6" s="3"/>
      <c r="T6" s="3"/>
      <c r="U6" s="3"/>
      <c r="V6" s="3"/>
      <c r="W6" s="3"/>
      <c r="X6" s="3"/>
      <c r="Y6" s="3"/>
      <c r="Z6" s="3"/>
      <c r="AA6" s="3"/>
      <c r="AB6" s="4"/>
    </row>
    <row r="7" spans="1:258" ht="15.5" customHeight="1">
      <c r="A7" s="124" t="s">
        <v>102</v>
      </c>
      <c r="B7" s="127" t="s">
        <v>92</v>
      </c>
      <c r="C7" s="127" t="s">
        <v>108</v>
      </c>
      <c r="D7" s="66"/>
      <c r="E7" s="128" t="s">
        <v>8</v>
      </c>
      <c r="F7" s="85"/>
      <c r="G7" s="85"/>
      <c r="H7" s="129" t="s">
        <v>168</v>
      </c>
      <c r="I7" s="129" t="s">
        <v>169</v>
      </c>
      <c r="J7" s="129" t="s">
        <v>9</v>
      </c>
      <c r="K7" s="129" t="s">
        <v>10</v>
      </c>
      <c r="L7" s="170"/>
      <c r="M7" s="168" t="s">
        <v>167</v>
      </c>
      <c r="N7" s="168" t="s">
        <v>127</v>
      </c>
      <c r="O7" s="48">
        <f>R4</f>
        <v>2024</v>
      </c>
      <c r="P7" s="169">
        <v>44927</v>
      </c>
      <c r="Q7" s="169">
        <f>DATE(R4,2,1)</f>
        <v>45323</v>
      </c>
      <c r="R7" s="169">
        <f>DATE(R4,3,1)</f>
        <v>45352</v>
      </c>
      <c r="S7" s="169">
        <f>DATE(R4,4,1)</f>
        <v>45383</v>
      </c>
      <c r="T7" s="169">
        <f>DATE(R4,5,1)</f>
        <v>45413</v>
      </c>
      <c r="U7" s="169">
        <f>DATE(R4,6,1)</f>
        <v>45444</v>
      </c>
      <c r="V7" s="169">
        <f>DATE(R4,7,1)</f>
        <v>45474</v>
      </c>
      <c r="W7" s="169">
        <f>DATE(R4,8,1)</f>
        <v>45505</v>
      </c>
      <c r="X7" s="169">
        <f>DATE(R4,9,1)</f>
        <v>45536</v>
      </c>
      <c r="Y7" s="169">
        <f>DATE(R4,10,1)</f>
        <v>45566</v>
      </c>
      <c r="Z7" s="169">
        <f>DATE(R4,11,1)</f>
        <v>45597</v>
      </c>
      <c r="AA7" s="169">
        <f>DATE(R4,12,1)</f>
        <v>45627</v>
      </c>
      <c r="AB7" s="167" t="s">
        <v>11</v>
      </c>
    </row>
    <row r="8" spans="1:258" s="14" customFormat="1" ht="90" customHeight="1">
      <c r="A8" s="124"/>
      <c r="B8" s="127"/>
      <c r="C8" s="127"/>
      <c r="D8" s="88"/>
      <c r="E8" s="128"/>
      <c r="F8" s="85" t="s">
        <v>295</v>
      </c>
      <c r="G8" s="85" t="s">
        <v>201</v>
      </c>
      <c r="H8" s="129"/>
      <c r="I8" s="129"/>
      <c r="J8" s="129"/>
      <c r="K8" s="129"/>
      <c r="L8" s="171"/>
      <c r="M8" s="168"/>
      <c r="N8" s="168"/>
      <c r="O8" s="49" t="s">
        <v>12</v>
      </c>
      <c r="P8" s="169"/>
      <c r="Q8" s="169"/>
      <c r="R8" s="169"/>
      <c r="S8" s="169"/>
      <c r="T8" s="169"/>
      <c r="U8" s="169"/>
      <c r="V8" s="169"/>
      <c r="W8" s="169"/>
      <c r="X8" s="169"/>
      <c r="Y8" s="169"/>
      <c r="Z8" s="169"/>
      <c r="AA8" s="169"/>
      <c r="AB8" s="167"/>
    </row>
    <row r="9" spans="1:258" ht="19" customHeight="1" outlineLevel="1">
      <c r="A9" s="192" t="s">
        <v>107</v>
      </c>
      <c r="B9" s="198" t="s">
        <v>189</v>
      </c>
      <c r="C9" s="194" t="s">
        <v>93</v>
      </c>
      <c r="D9" s="67"/>
      <c r="E9" s="196" t="s">
        <v>202</v>
      </c>
      <c r="F9" s="210" t="s">
        <v>386</v>
      </c>
      <c r="G9" s="125" t="s">
        <v>272</v>
      </c>
      <c r="H9" s="41" t="s">
        <v>25</v>
      </c>
      <c r="I9" s="118" t="s">
        <v>15</v>
      </c>
      <c r="J9" s="131" t="s">
        <v>30</v>
      </c>
      <c r="K9" s="130" t="s">
        <v>28</v>
      </c>
      <c r="L9" s="191"/>
      <c r="M9" s="116"/>
      <c r="N9" s="119"/>
      <c r="O9" s="42" t="s">
        <v>18</v>
      </c>
      <c r="P9" s="53"/>
      <c r="Q9" s="53"/>
      <c r="R9" s="16"/>
      <c r="S9" s="16"/>
      <c r="T9" s="16"/>
      <c r="U9" s="16"/>
      <c r="V9" s="16"/>
      <c r="W9" s="16"/>
      <c r="X9" s="16"/>
      <c r="Y9" s="16"/>
      <c r="Z9" s="16"/>
      <c r="AA9" s="16"/>
      <c r="AB9" s="45"/>
    </row>
    <row r="10" spans="1:258" ht="19" customHeight="1" outlineLevel="1">
      <c r="A10" s="193"/>
      <c r="B10" s="199"/>
      <c r="C10" s="195"/>
      <c r="D10" s="69"/>
      <c r="E10" s="197"/>
      <c r="F10" s="211"/>
      <c r="G10" s="126"/>
      <c r="H10" s="43" t="s">
        <v>19</v>
      </c>
      <c r="I10" s="118"/>
      <c r="J10" s="134"/>
      <c r="K10" s="130"/>
      <c r="L10" s="191"/>
      <c r="M10" s="116"/>
      <c r="N10" s="119"/>
      <c r="O10" s="42" t="s">
        <v>20</v>
      </c>
      <c r="P10" s="15"/>
      <c r="Q10" s="15"/>
      <c r="R10" s="15"/>
      <c r="S10" s="15"/>
      <c r="T10" s="15"/>
      <c r="U10" s="15"/>
      <c r="V10" s="15"/>
      <c r="W10" s="15"/>
      <c r="X10" s="15"/>
      <c r="Y10" s="15"/>
      <c r="Z10" s="15"/>
      <c r="AA10" s="15"/>
      <c r="AB10" s="44"/>
    </row>
    <row r="11" spans="1:258" ht="19" customHeight="1" outlineLevel="1">
      <c r="A11" s="193"/>
      <c r="B11" s="199"/>
      <c r="C11" s="195"/>
      <c r="D11" s="67"/>
      <c r="E11" s="125" t="s">
        <v>203</v>
      </c>
      <c r="F11" s="210" t="s">
        <v>269</v>
      </c>
      <c r="G11" s="125" t="s">
        <v>273</v>
      </c>
      <c r="H11" s="41" t="s">
        <v>25</v>
      </c>
      <c r="I11" s="118" t="s">
        <v>15</v>
      </c>
      <c r="J11" s="131" t="s">
        <v>30</v>
      </c>
      <c r="K11" s="54"/>
      <c r="L11" s="191"/>
      <c r="M11" s="116"/>
      <c r="N11" s="119"/>
      <c r="O11" s="42" t="s">
        <v>18</v>
      </c>
      <c r="P11" s="53"/>
      <c r="Q11" s="53"/>
      <c r="R11" s="16"/>
      <c r="S11" s="16"/>
      <c r="T11" s="16"/>
      <c r="U11" s="16"/>
      <c r="V11" s="16"/>
      <c r="W11" s="16"/>
      <c r="X11" s="16"/>
      <c r="Y11" s="16"/>
      <c r="Z11" s="16"/>
      <c r="AA11" s="16"/>
      <c r="AB11" s="45"/>
    </row>
    <row r="12" spans="1:258" ht="19" customHeight="1" outlineLevel="1">
      <c r="A12" s="193"/>
      <c r="B12" s="199"/>
      <c r="C12" s="195"/>
      <c r="D12" s="69"/>
      <c r="E12" s="126"/>
      <c r="F12" s="211"/>
      <c r="G12" s="126"/>
      <c r="H12" s="43" t="s">
        <v>19</v>
      </c>
      <c r="I12" s="118"/>
      <c r="J12" s="134"/>
      <c r="K12" s="54"/>
      <c r="L12" s="191"/>
      <c r="M12" s="116"/>
      <c r="N12" s="119"/>
      <c r="O12" s="42" t="s">
        <v>20</v>
      </c>
      <c r="P12" s="15"/>
      <c r="Q12" s="15"/>
      <c r="R12" s="15"/>
      <c r="S12" s="15"/>
      <c r="T12" s="15"/>
      <c r="U12" s="15"/>
      <c r="V12" s="15"/>
      <c r="W12" s="15"/>
      <c r="X12" s="15"/>
      <c r="Y12" s="15"/>
      <c r="Z12" s="15"/>
      <c r="AA12" s="15"/>
      <c r="AB12" s="44"/>
    </row>
    <row r="13" spans="1:258" ht="19" customHeight="1" outlineLevel="1">
      <c r="A13" s="193"/>
      <c r="B13" s="199"/>
      <c r="C13" s="195"/>
      <c r="D13" s="67"/>
      <c r="E13" s="125" t="s">
        <v>204</v>
      </c>
      <c r="F13" s="210" t="s">
        <v>270</v>
      </c>
      <c r="G13" s="125" t="s">
        <v>274</v>
      </c>
      <c r="H13" s="41" t="s">
        <v>25</v>
      </c>
      <c r="I13" s="118" t="s">
        <v>15</v>
      </c>
      <c r="J13" s="131" t="s">
        <v>30</v>
      </c>
      <c r="K13" s="54"/>
      <c r="L13" s="191"/>
      <c r="M13" s="116"/>
      <c r="N13" s="119"/>
      <c r="O13" s="42" t="s">
        <v>18</v>
      </c>
      <c r="P13" s="53"/>
      <c r="Q13" s="53"/>
      <c r="R13" s="16"/>
      <c r="S13" s="16"/>
      <c r="T13" s="16"/>
      <c r="U13" s="16"/>
      <c r="V13" s="16"/>
      <c r="W13" s="16"/>
      <c r="X13" s="16"/>
      <c r="Y13" s="16"/>
      <c r="Z13" s="16"/>
      <c r="AA13" s="16"/>
      <c r="AB13" s="45"/>
    </row>
    <row r="14" spans="1:258" ht="19" customHeight="1" outlineLevel="1">
      <c r="A14" s="193"/>
      <c r="B14" s="199"/>
      <c r="C14" s="195"/>
      <c r="D14" s="69"/>
      <c r="E14" s="126"/>
      <c r="F14" s="211"/>
      <c r="G14" s="126"/>
      <c r="H14" s="43" t="s">
        <v>19</v>
      </c>
      <c r="I14" s="118"/>
      <c r="J14" s="134"/>
      <c r="K14" s="54"/>
      <c r="L14" s="191"/>
      <c r="M14" s="116"/>
      <c r="N14" s="119"/>
      <c r="O14" s="42" t="s">
        <v>20</v>
      </c>
      <c r="P14" s="15"/>
      <c r="Q14" s="15"/>
      <c r="R14" s="15"/>
      <c r="S14" s="15"/>
      <c r="T14" s="15"/>
      <c r="U14" s="15"/>
      <c r="V14" s="15"/>
      <c r="W14" s="15"/>
      <c r="X14" s="15"/>
      <c r="Y14" s="15"/>
      <c r="Z14" s="15"/>
      <c r="AA14" s="15"/>
      <c r="AB14" s="44"/>
    </row>
    <row r="15" spans="1:258" ht="19" customHeight="1" outlineLevel="1">
      <c r="A15" s="193"/>
      <c r="B15" s="199"/>
      <c r="C15" s="195"/>
      <c r="D15" s="67"/>
      <c r="E15" s="125" t="s">
        <v>205</v>
      </c>
      <c r="F15" s="210" t="s">
        <v>271</v>
      </c>
      <c r="G15" s="125" t="s">
        <v>275</v>
      </c>
      <c r="H15" s="41" t="s">
        <v>25</v>
      </c>
      <c r="I15" s="118" t="s">
        <v>208</v>
      </c>
      <c r="J15" s="131" t="s">
        <v>30</v>
      </c>
      <c r="K15" s="130" t="s">
        <v>28</v>
      </c>
      <c r="L15" s="227"/>
      <c r="M15" s="116"/>
      <c r="N15" s="120"/>
      <c r="O15" s="42" t="s">
        <v>18</v>
      </c>
      <c r="P15" s="53"/>
      <c r="Q15" s="53"/>
      <c r="R15" s="16"/>
      <c r="S15" s="16"/>
      <c r="T15" s="16"/>
      <c r="U15" s="16"/>
      <c r="V15" s="16"/>
      <c r="W15" s="16"/>
      <c r="X15" s="16"/>
      <c r="Y15" s="16"/>
      <c r="Z15" s="16"/>
      <c r="AA15" s="16"/>
      <c r="AB15" s="45"/>
    </row>
    <row r="16" spans="1:258" ht="19" customHeight="1" outlineLevel="1">
      <c r="A16" s="193"/>
      <c r="B16" s="199"/>
      <c r="C16" s="195"/>
      <c r="D16" s="69"/>
      <c r="E16" s="126"/>
      <c r="F16" s="211"/>
      <c r="G16" s="126"/>
      <c r="H16" s="43" t="s">
        <v>19</v>
      </c>
      <c r="I16" s="118"/>
      <c r="J16" s="134"/>
      <c r="K16" s="130"/>
      <c r="L16" s="228"/>
      <c r="M16" s="116"/>
      <c r="N16" s="121"/>
      <c r="O16" s="42" t="s">
        <v>20</v>
      </c>
      <c r="P16" s="53"/>
      <c r="Q16" s="53"/>
      <c r="R16" s="16"/>
      <c r="S16" s="16"/>
      <c r="T16" s="16"/>
      <c r="U16" s="16"/>
      <c r="V16" s="16"/>
      <c r="W16" s="16"/>
      <c r="X16" s="16"/>
      <c r="Y16" s="16"/>
      <c r="Z16" s="16"/>
      <c r="AA16" s="16"/>
      <c r="AB16" s="45"/>
    </row>
    <row r="17" spans="1:28" ht="19" customHeight="1" outlineLevel="1">
      <c r="A17" s="193"/>
      <c r="B17" s="199"/>
      <c r="C17" s="93"/>
      <c r="D17" s="67"/>
      <c r="E17" s="125" t="s">
        <v>206</v>
      </c>
      <c r="F17" s="210" t="s">
        <v>277</v>
      </c>
      <c r="G17" s="125" t="s">
        <v>276</v>
      </c>
      <c r="H17" s="41" t="s">
        <v>25</v>
      </c>
      <c r="I17" s="118" t="s">
        <v>15</v>
      </c>
      <c r="J17" s="131" t="s">
        <v>30</v>
      </c>
      <c r="K17" s="130" t="s">
        <v>28</v>
      </c>
      <c r="L17" s="227"/>
      <c r="M17" s="116"/>
      <c r="N17" s="120"/>
      <c r="O17" s="42" t="s">
        <v>18</v>
      </c>
      <c r="P17" s="53"/>
      <c r="Q17" s="53"/>
      <c r="R17" s="16"/>
      <c r="S17" s="16"/>
      <c r="T17" s="16"/>
      <c r="U17" s="16"/>
      <c r="V17" s="16"/>
      <c r="W17" s="16"/>
      <c r="X17" s="16"/>
      <c r="Y17" s="16"/>
      <c r="Z17" s="16"/>
      <c r="AA17" s="16"/>
      <c r="AB17" s="45"/>
    </row>
    <row r="18" spans="1:28" ht="19" customHeight="1" outlineLevel="1">
      <c r="A18" s="193"/>
      <c r="B18" s="199"/>
      <c r="C18" s="93"/>
      <c r="D18" s="69"/>
      <c r="E18" s="126"/>
      <c r="F18" s="211"/>
      <c r="G18" s="126"/>
      <c r="H18" s="43" t="s">
        <v>38</v>
      </c>
      <c r="I18" s="118"/>
      <c r="J18" s="134"/>
      <c r="K18" s="130"/>
      <c r="L18" s="228"/>
      <c r="M18" s="116"/>
      <c r="N18" s="121"/>
      <c r="O18" s="42" t="s">
        <v>20</v>
      </c>
      <c r="P18" s="53"/>
      <c r="Q18" s="53"/>
      <c r="R18" s="16"/>
      <c r="S18" s="16"/>
      <c r="T18" s="16"/>
      <c r="U18" s="16"/>
      <c r="V18" s="16"/>
      <c r="W18" s="16"/>
      <c r="X18" s="16"/>
      <c r="Y18" s="16"/>
      <c r="Z18" s="16"/>
      <c r="AA18" s="16"/>
      <c r="AB18" s="45"/>
    </row>
    <row r="19" spans="1:28" ht="19" customHeight="1" outlineLevel="1">
      <c r="A19" s="193"/>
      <c r="B19" s="199"/>
      <c r="C19" s="93"/>
      <c r="D19" s="67"/>
      <c r="E19" s="125" t="s">
        <v>207</v>
      </c>
      <c r="F19" s="210" t="s">
        <v>278</v>
      </c>
      <c r="G19" s="125" t="s">
        <v>279</v>
      </c>
      <c r="H19" s="41" t="s">
        <v>25</v>
      </c>
      <c r="I19" s="118" t="s">
        <v>15</v>
      </c>
      <c r="J19" s="131" t="s">
        <v>30</v>
      </c>
      <c r="K19" s="130" t="s">
        <v>28</v>
      </c>
      <c r="L19" s="227"/>
      <c r="M19" s="116"/>
      <c r="N19" s="120"/>
      <c r="O19" s="42" t="s">
        <v>18</v>
      </c>
      <c r="P19" s="53"/>
      <c r="Q19" s="53"/>
      <c r="R19" s="16"/>
      <c r="S19" s="16"/>
      <c r="T19" s="16"/>
      <c r="U19" s="16"/>
      <c r="V19" s="16"/>
      <c r="W19" s="16"/>
      <c r="X19" s="16"/>
      <c r="Y19" s="16"/>
      <c r="Z19" s="16"/>
      <c r="AA19" s="16"/>
      <c r="AB19" s="45"/>
    </row>
    <row r="20" spans="1:28" ht="19" customHeight="1" outlineLevel="1">
      <c r="A20" s="193"/>
      <c r="B20" s="199"/>
      <c r="C20" s="93"/>
      <c r="D20" s="69"/>
      <c r="E20" s="126"/>
      <c r="F20" s="211"/>
      <c r="G20" s="126"/>
      <c r="H20" s="43" t="s">
        <v>19</v>
      </c>
      <c r="I20" s="118"/>
      <c r="J20" s="134"/>
      <c r="K20" s="130"/>
      <c r="L20" s="228"/>
      <c r="M20" s="116"/>
      <c r="N20" s="121"/>
      <c r="O20" s="42" t="s">
        <v>20</v>
      </c>
      <c r="P20" s="53"/>
      <c r="Q20" s="53"/>
      <c r="R20" s="16"/>
      <c r="S20" s="16"/>
      <c r="T20" s="16"/>
      <c r="U20" s="16"/>
      <c r="V20" s="16"/>
      <c r="W20" s="16"/>
      <c r="X20" s="16"/>
      <c r="Y20" s="16"/>
      <c r="Z20" s="16"/>
      <c r="AA20" s="16"/>
      <c r="AB20" s="45"/>
    </row>
    <row r="21" spans="1:28" ht="19" customHeight="1" outlineLevel="1">
      <c r="A21" s="193"/>
      <c r="B21" s="199"/>
      <c r="C21" s="93"/>
      <c r="D21" s="67"/>
      <c r="E21" s="125" t="s">
        <v>184</v>
      </c>
      <c r="F21" s="210" t="s">
        <v>282</v>
      </c>
      <c r="G21" s="125" t="s">
        <v>281</v>
      </c>
      <c r="H21" s="43" t="s">
        <v>25</v>
      </c>
      <c r="I21" s="131" t="s">
        <v>15</v>
      </c>
      <c r="J21" s="131" t="s">
        <v>16</v>
      </c>
      <c r="K21" s="130" t="s">
        <v>28</v>
      </c>
      <c r="L21" s="191"/>
      <c r="M21" s="116"/>
      <c r="N21" s="119"/>
      <c r="O21" s="42" t="s">
        <v>18</v>
      </c>
      <c r="P21" s="53"/>
      <c r="Q21" s="53"/>
      <c r="R21" s="16"/>
      <c r="S21" s="16"/>
      <c r="T21" s="16"/>
      <c r="U21" s="16"/>
      <c r="V21" s="16"/>
      <c r="W21" s="16"/>
      <c r="X21" s="16"/>
      <c r="Y21" s="16"/>
      <c r="Z21" s="16"/>
      <c r="AA21" s="16"/>
      <c r="AB21" s="45"/>
    </row>
    <row r="22" spans="1:28" ht="19" customHeight="1" outlineLevel="1">
      <c r="A22" s="193"/>
      <c r="B22" s="199"/>
      <c r="C22" s="93"/>
      <c r="D22" s="69"/>
      <c r="E22" s="126"/>
      <c r="F22" s="211"/>
      <c r="G22" s="126"/>
      <c r="H22" s="43" t="s">
        <v>183</v>
      </c>
      <c r="I22" s="134"/>
      <c r="J22" s="134"/>
      <c r="K22" s="130"/>
      <c r="L22" s="191"/>
      <c r="M22" s="116"/>
      <c r="N22" s="119"/>
      <c r="O22" s="42" t="s">
        <v>20</v>
      </c>
      <c r="P22" s="53"/>
      <c r="Q22" s="53"/>
      <c r="R22" s="16"/>
      <c r="S22" s="16"/>
      <c r="T22" s="16"/>
      <c r="U22" s="16"/>
      <c r="V22" s="16"/>
      <c r="W22" s="16"/>
      <c r="X22" s="16"/>
      <c r="Y22" s="16"/>
      <c r="Z22" s="16"/>
      <c r="AA22" s="16"/>
      <c r="AB22" s="45"/>
    </row>
    <row r="23" spans="1:28" ht="19" customHeight="1" outlineLevel="1">
      <c r="A23" s="193"/>
      <c r="B23" s="199"/>
      <c r="C23" s="93"/>
      <c r="D23" s="67"/>
      <c r="E23" s="125" t="s">
        <v>128</v>
      </c>
      <c r="F23" s="210" t="s">
        <v>283</v>
      </c>
      <c r="G23" s="125" t="s">
        <v>280</v>
      </c>
      <c r="H23" s="41" t="s">
        <v>23</v>
      </c>
      <c r="I23" s="131" t="s">
        <v>15</v>
      </c>
      <c r="J23" s="80" t="s">
        <v>16</v>
      </c>
      <c r="K23" s="130" t="s">
        <v>28</v>
      </c>
      <c r="L23" s="191"/>
      <c r="M23" s="116"/>
      <c r="N23" s="119"/>
      <c r="O23" s="42" t="s">
        <v>18</v>
      </c>
      <c r="P23" s="53"/>
      <c r="Q23" s="53"/>
      <c r="R23" s="16"/>
      <c r="S23" s="16"/>
      <c r="T23" s="16"/>
      <c r="U23" s="16"/>
      <c r="V23" s="16"/>
      <c r="W23" s="16"/>
      <c r="X23" s="16"/>
      <c r="Y23" s="16"/>
      <c r="Z23" s="16"/>
      <c r="AA23" s="16"/>
      <c r="AB23" s="45"/>
    </row>
    <row r="24" spans="1:28" ht="19" customHeight="1" outlineLevel="1">
      <c r="A24" s="193"/>
      <c r="B24" s="199"/>
      <c r="C24" s="93"/>
      <c r="D24" s="69"/>
      <c r="E24" s="126"/>
      <c r="F24" s="211"/>
      <c r="G24" s="126"/>
      <c r="H24" s="43" t="s">
        <v>183</v>
      </c>
      <c r="I24" s="134"/>
      <c r="J24" s="81"/>
      <c r="K24" s="130"/>
      <c r="L24" s="191"/>
      <c r="M24" s="116"/>
      <c r="N24" s="119"/>
      <c r="O24" s="42" t="s">
        <v>20</v>
      </c>
      <c r="P24" s="53"/>
      <c r="Q24" s="53"/>
      <c r="R24" s="16"/>
      <c r="S24" s="16"/>
      <c r="T24" s="16"/>
      <c r="U24" s="16"/>
      <c r="V24" s="16"/>
      <c r="W24" s="16"/>
      <c r="X24" s="16"/>
      <c r="Y24" s="16"/>
      <c r="Z24" s="16"/>
      <c r="AA24" s="16"/>
      <c r="AB24" s="45"/>
    </row>
    <row r="25" spans="1:28" ht="19" customHeight="1" outlineLevel="1">
      <c r="A25" s="193"/>
      <c r="B25" s="199"/>
      <c r="C25" s="204" t="s">
        <v>181</v>
      </c>
      <c r="D25" s="68"/>
      <c r="E25" s="125" t="s">
        <v>186</v>
      </c>
      <c r="F25" s="210" t="s">
        <v>297</v>
      </c>
      <c r="G25" s="125" t="s">
        <v>301</v>
      </c>
      <c r="H25" s="41" t="s">
        <v>29</v>
      </c>
      <c r="I25" s="147" t="s">
        <v>15</v>
      </c>
      <c r="J25" s="118" t="s">
        <v>30</v>
      </c>
      <c r="K25" s="130" t="s">
        <v>28</v>
      </c>
      <c r="L25" s="115"/>
      <c r="M25" s="116"/>
      <c r="N25" s="119"/>
      <c r="O25" s="42" t="s">
        <v>18</v>
      </c>
      <c r="P25" s="53"/>
      <c r="Q25" s="53"/>
      <c r="R25" s="16"/>
      <c r="S25" s="16"/>
      <c r="T25" s="16"/>
      <c r="U25" s="16"/>
      <c r="V25" s="16"/>
      <c r="W25" s="16"/>
      <c r="X25" s="16"/>
      <c r="Y25" s="16"/>
      <c r="Z25" s="16"/>
      <c r="AA25" s="16"/>
      <c r="AB25" s="45"/>
    </row>
    <row r="26" spans="1:28" ht="19" customHeight="1" outlineLevel="1">
      <c r="A26" s="193"/>
      <c r="B26" s="199"/>
      <c r="C26" s="204"/>
      <c r="D26" s="69"/>
      <c r="E26" s="126"/>
      <c r="F26" s="211"/>
      <c r="G26" s="126"/>
      <c r="H26" s="43" t="s">
        <v>31</v>
      </c>
      <c r="I26" s="147"/>
      <c r="J26" s="118"/>
      <c r="K26" s="130"/>
      <c r="L26" s="115"/>
      <c r="M26" s="116"/>
      <c r="N26" s="119"/>
      <c r="O26" s="42" t="s">
        <v>20</v>
      </c>
      <c r="P26" s="15"/>
      <c r="Q26" s="15"/>
      <c r="R26" s="15"/>
      <c r="S26" s="15"/>
      <c r="T26" s="15"/>
      <c r="U26" s="15"/>
      <c r="V26" s="15"/>
      <c r="W26" s="15"/>
      <c r="X26" s="15"/>
      <c r="Y26" s="15"/>
      <c r="Z26" s="15"/>
      <c r="AA26" s="15"/>
      <c r="AB26" s="44"/>
    </row>
    <row r="27" spans="1:28" ht="19" customHeight="1" outlineLevel="1">
      <c r="A27" s="193"/>
      <c r="B27" s="199"/>
      <c r="C27" s="204"/>
      <c r="D27" s="67"/>
      <c r="E27" s="205" t="s">
        <v>126</v>
      </c>
      <c r="F27" s="210" t="s">
        <v>296</v>
      </c>
      <c r="G27" s="125" t="s">
        <v>302</v>
      </c>
      <c r="H27" s="41" t="s">
        <v>23</v>
      </c>
      <c r="I27" s="147" t="s">
        <v>15</v>
      </c>
      <c r="J27" s="118" t="s">
        <v>30</v>
      </c>
      <c r="K27" s="130" t="s">
        <v>28</v>
      </c>
      <c r="L27" s="115"/>
      <c r="M27" s="116"/>
      <c r="N27" s="119"/>
      <c r="O27" s="42" t="s">
        <v>18</v>
      </c>
      <c r="P27" s="53"/>
      <c r="Q27" s="53"/>
      <c r="R27" s="16"/>
      <c r="S27" s="16"/>
      <c r="T27" s="16"/>
      <c r="U27" s="16"/>
      <c r="V27" s="16"/>
      <c r="W27" s="16"/>
      <c r="X27" s="16"/>
      <c r="Y27" s="16"/>
      <c r="Z27" s="16"/>
      <c r="AA27" s="16"/>
      <c r="AB27" s="45"/>
    </row>
    <row r="28" spans="1:28" ht="19" customHeight="1" outlineLevel="1">
      <c r="A28" s="193"/>
      <c r="B28" s="199"/>
      <c r="C28" s="204"/>
      <c r="D28" s="69"/>
      <c r="E28" s="206"/>
      <c r="F28" s="211"/>
      <c r="G28" s="126"/>
      <c r="H28" s="43" t="s">
        <v>38</v>
      </c>
      <c r="I28" s="147"/>
      <c r="J28" s="118"/>
      <c r="K28" s="130"/>
      <c r="L28" s="115"/>
      <c r="M28" s="116"/>
      <c r="N28" s="119"/>
      <c r="O28" s="42" t="s">
        <v>20</v>
      </c>
      <c r="P28" s="15"/>
      <c r="Q28" s="15"/>
      <c r="R28" s="15"/>
      <c r="S28" s="15"/>
      <c r="T28" s="15"/>
      <c r="U28" s="15"/>
      <c r="V28" s="15"/>
      <c r="W28" s="15"/>
      <c r="X28" s="15"/>
      <c r="Y28" s="15"/>
      <c r="Z28" s="15"/>
      <c r="AA28" s="15"/>
      <c r="AB28" s="44"/>
    </row>
    <row r="29" spans="1:28" ht="19" customHeight="1" outlineLevel="1">
      <c r="A29" s="193"/>
      <c r="B29" s="199"/>
      <c r="C29" s="204"/>
      <c r="D29" s="68"/>
      <c r="E29" s="125" t="s">
        <v>184</v>
      </c>
      <c r="F29" s="210" t="s">
        <v>298</v>
      </c>
      <c r="G29" s="125" t="s">
        <v>303</v>
      </c>
      <c r="H29" s="43" t="s">
        <v>25</v>
      </c>
      <c r="I29" s="131" t="s">
        <v>15</v>
      </c>
      <c r="J29" s="131" t="s">
        <v>16</v>
      </c>
      <c r="K29" s="54"/>
      <c r="L29" s="191"/>
      <c r="M29" s="116"/>
      <c r="N29" s="119"/>
      <c r="O29" s="42" t="s">
        <v>18</v>
      </c>
      <c r="P29" s="15"/>
      <c r="Q29" s="15"/>
      <c r="R29" s="15"/>
      <c r="S29" s="15"/>
      <c r="T29" s="15"/>
      <c r="U29" s="15"/>
      <c r="V29" s="15"/>
      <c r="W29" s="15"/>
      <c r="X29" s="15"/>
      <c r="Y29" s="15"/>
      <c r="Z29" s="15"/>
      <c r="AA29" s="15"/>
      <c r="AB29" s="44"/>
    </row>
    <row r="30" spans="1:28" ht="19" customHeight="1" outlineLevel="1">
      <c r="A30" s="193"/>
      <c r="B30" s="199"/>
      <c r="C30" s="204"/>
      <c r="D30" s="68"/>
      <c r="E30" s="126"/>
      <c r="F30" s="211"/>
      <c r="G30" s="126"/>
      <c r="H30" s="43" t="s">
        <v>182</v>
      </c>
      <c r="I30" s="134"/>
      <c r="J30" s="134"/>
      <c r="K30" s="54"/>
      <c r="L30" s="191"/>
      <c r="M30" s="116"/>
      <c r="N30" s="119"/>
      <c r="O30" s="42" t="s">
        <v>20</v>
      </c>
      <c r="P30" s="15"/>
      <c r="Q30" s="15"/>
      <c r="R30" s="15"/>
      <c r="S30" s="15"/>
      <c r="T30" s="15"/>
      <c r="U30" s="15"/>
      <c r="V30" s="15"/>
      <c r="W30" s="15"/>
      <c r="X30" s="15"/>
      <c r="Y30" s="15"/>
      <c r="Z30" s="15"/>
      <c r="AA30" s="15"/>
      <c r="AB30" s="44"/>
    </row>
    <row r="31" spans="1:28" ht="19" customHeight="1" outlineLevel="1">
      <c r="A31" s="193"/>
      <c r="B31" s="199"/>
      <c r="C31" s="204"/>
      <c r="D31" s="67"/>
      <c r="E31" s="139" t="s">
        <v>129</v>
      </c>
      <c r="F31" s="210" t="s">
        <v>299</v>
      </c>
      <c r="G31" s="125" t="s">
        <v>305</v>
      </c>
      <c r="H31" s="46" t="s">
        <v>25</v>
      </c>
      <c r="I31" s="118" t="s">
        <v>15</v>
      </c>
      <c r="J31" s="118" t="s">
        <v>30</v>
      </c>
      <c r="K31" s="130" t="s">
        <v>28</v>
      </c>
      <c r="L31" s="117"/>
      <c r="M31" s="116"/>
      <c r="N31" s="119"/>
      <c r="O31" s="42" t="s">
        <v>18</v>
      </c>
      <c r="P31" s="53"/>
      <c r="Q31" s="53"/>
      <c r="R31" s="16"/>
      <c r="S31" s="16"/>
      <c r="T31" s="16"/>
      <c r="U31" s="16"/>
      <c r="V31" s="16"/>
      <c r="W31" s="16"/>
      <c r="X31" s="16"/>
      <c r="Y31" s="16"/>
      <c r="Z31" s="16"/>
      <c r="AA31" s="16"/>
      <c r="AB31" s="45"/>
    </row>
    <row r="32" spans="1:28" ht="19" customHeight="1" outlineLevel="1">
      <c r="A32" s="193"/>
      <c r="B32" s="199"/>
      <c r="C32" s="204"/>
      <c r="D32" s="69"/>
      <c r="E32" s="140"/>
      <c r="F32" s="211"/>
      <c r="G32" s="126"/>
      <c r="H32" s="43" t="s">
        <v>31</v>
      </c>
      <c r="I32" s="118"/>
      <c r="J32" s="118"/>
      <c r="K32" s="130"/>
      <c r="L32" s="117"/>
      <c r="M32" s="116"/>
      <c r="N32" s="119"/>
      <c r="O32" s="42" t="s">
        <v>20</v>
      </c>
      <c r="P32" s="15"/>
      <c r="Q32" s="15"/>
      <c r="R32" s="15"/>
      <c r="S32" s="15"/>
      <c r="T32" s="15"/>
      <c r="U32" s="15"/>
      <c r="V32" s="15"/>
      <c r="W32" s="15"/>
      <c r="X32" s="15"/>
      <c r="Y32" s="15"/>
      <c r="Z32" s="15"/>
      <c r="AA32" s="15"/>
      <c r="AB32" s="44"/>
    </row>
    <row r="33" spans="1:28" ht="19" customHeight="1" outlineLevel="1">
      <c r="A33" s="193"/>
      <c r="B33" s="199"/>
      <c r="C33" s="204"/>
      <c r="D33" s="67"/>
      <c r="E33" s="201" t="s">
        <v>130</v>
      </c>
      <c r="F33" s="210" t="s">
        <v>300</v>
      </c>
      <c r="G33" s="125" t="s">
        <v>304</v>
      </c>
      <c r="H33" s="46" t="s">
        <v>25</v>
      </c>
      <c r="I33" s="118" t="s">
        <v>32</v>
      </c>
      <c r="J33" s="118" t="s">
        <v>30</v>
      </c>
      <c r="K33" s="130" t="s">
        <v>28</v>
      </c>
      <c r="L33" s="203"/>
      <c r="M33" s="116"/>
      <c r="N33" s="119"/>
      <c r="O33" s="42" t="s">
        <v>18</v>
      </c>
      <c r="P33" s="53"/>
      <c r="Q33" s="53"/>
      <c r="R33" s="16"/>
      <c r="S33" s="16"/>
      <c r="T33" s="16"/>
      <c r="U33" s="16"/>
      <c r="V33" s="16"/>
      <c r="W33" s="16"/>
      <c r="X33" s="16"/>
      <c r="Y33" s="16"/>
      <c r="Z33" s="16"/>
      <c r="AA33" s="16"/>
      <c r="AB33" s="45"/>
    </row>
    <row r="34" spans="1:28" ht="19" customHeight="1" outlineLevel="1">
      <c r="A34" s="193"/>
      <c r="B34" s="199"/>
      <c r="C34" s="204"/>
      <c r="D34" s="69"/>
      <c r="E34" s="202"/>
      <c r="F34" s="211"/>
      <c r="G34" s="126"/>
      <c r="H34" s="47" t="s">
        <v>38</v>
      </c>
      <c r="I34" s="118"/>
      <c r="J34" s="118"/>
      <c r="K34" s="130"/>
      <c r="L34" s="203"/>
      <c r="M34" s="116"/>
      <c r="N34" s="119"/>
      <c r="O34" s="42" t="s">
        <v>20</v>
      </c>
      <c r="P34" s="15"/>
      <c r="Q34" s="15"/>
      <c r="R34" s="15"/>
      <c r="S34" s="15"/>
      <c r="T34" s="15"/>
      <c r="U34" s="15"/>
      <c r="V34" s="15"/>
      <c r="W34" s="15"/>
      <c r="X34" s="15"/>
      <c r="Y34" s="15"/>
      <c r="Z34" s="15"/>
      <c r="AA34" s="15"/>
      <c r="AB34" s="44"/>
    </row>
    <row r="35" spans="1:28" ht="19" customHeight="1" outlineLevel="1">
      <c r="A35" s="193"/>
      <c r="B35" s="199"/>
      <c r="C35" s="204"/>
      <c r="D35" s="67"/>
      <c r="E35" s="125" t="s">
        <v>128</v>
      </c>
      <c r="F35" s="210" t="s">
        <v>336</v>
      </c>
      <c r="G35" s="125" t="s">
        <v>335</v>
      </c>
      <c r="H35" s="41" t="s">
        <v>14</v>
      </c>
      <c r="I35" s="118" t="s">
        <v>15</v>
      </c>
      <c r="J35" s="118" t="s">
        <v>30</v>
      </c>
      <c r="K35" s="130" t="s">
        <v>28</v>
      </c>
      <c r="L35" s="191"/>
      <c r="M35" s="116"/>
      <c r="N35" s="119"/>
      <c r="O35" s="42" t="s">
        <v>18</v>
      </c>
      <c r="P35" s="53"/>
      <c r="Q35" s="53"/>
      <c r="R35" s="16"/>
      <c r="S35" s="16"/>
      <c r="T35" s="16"/>
      <c r="U35" s="16"/>
      <c r="V35" s="16"/>
      <c r="W35" s="16"/>
      <c r="X35" s="16"/>
      <c r="Y35" s="16"/>
      <c r="Z35" s="16"/>
      <c r="AA35" s="16"/>
      <c r="AB35" s="45"/>
    </row>
    <row r="36" spans="1:28" ht="19" customHeight="1" outlineLevel="1">
      <c r="A36" s="193"/>
      <c r="B36" s="199"/>
      <c r="C36" s="204"/>
      <c r="D36" s="69"/>
      <c r="E36" s="126"/>
      <c r="F36" s="211"/>
      <c r="G36" s="126"/>
      <c r="H36" s="43" t="s">
        <v>43</v>
      </c>
      <c r="I36" s="118"/>
      <c r="J36" s="118"/>
      <c r="K36" s="130"/>
      <c r="L36" s="191"/>
      <c r="M36" s="116"/>
      <c r="N36" s="119"/>
      <c r="O36" s="42" t="s">
        <v>20</v>
      </c>
      <c r="P36" s="15"/>
      <c r="Q36" s="15"/>
      <c r="R36" s="15"/>
      <c r="S36" s="15"/>
      <c r="T36" s="15"/>
      <c r="U36" s="15"/>
      <c r="V36" s="15"/>
      <c r="W36" s="15"/>
      <c r="X36" s="15"/>
      <c r="Y36" s="15"/>
      <c r="Z36" s="15"/>
      <c r="AA36" s="15"/>
      <c r="AB36" s="44"/>
    </row>
    <row r="37" spans="1:28" ht="19" customHeight="1" outlineLevel="1">
      <c r="A37" s="193"/>
      <c r="B37" s="199"/>
      <c r="C37" s="198" t="s">
        <v>180</v>
      </c>
      <c r="D37" s="67"/>
      <c r="E37" s="113" t="s">
        <v>131</v>
      </c>
      <c r="F37" s="210" t="s">
        <v>338</v>
      </c>
      <c r="G37" s="125" t="s">
        <v>337</v>
      </c>
      <c r="H37" s="43" t="s">
        <v>25</v>
      </c>
      <c r="I37" s="118" t="s">
        <v>42</v>
      </c>
      <c r="J37" s="118" t="s">
        <v>30</v>
      </c>
      <c r="K37" s="54"/>
      <c r="L37" s="191"/>
      <c r="M37" s="116"/>
      <c r="N37" s="119"/>
      <c r="O37" s="42" t="s">
        <v>18</v>
      </c>
      <c r="P37" s="53"/>
      <c r="Q37" s="53"/>
      <c r="R37" s="16"/>
      <c r="S37" s="16"/>
      <c r="T37" s="16"/>
      <c r="U37" s="16"/>
      <c r="V37" s="16"/>
      <c r="W37" s="16"/>
      <c r="X37" s="16"/>
      <c r="Y37" s="16"/>
      <c r="Z37" s="16"/>
      <c r="AA37" s="16"/>
      <c r="AB37" s="45"/>
    </row>
    <row r="38" spans="1:28" ht="19" customHeight="1" outlineLevel="1">
      <c r="A38" s="193"/>
      <c r="B38" s="199"/>
      <c r="C38" s="199"/>
      <c r="D38" s="68"/>
      <c r="E38" s="173"/>
      <c r="F38" s="211"/>
      <c r="G38" s="126"/>
      <c r="H38" s="43" t="s">
        <v>38</v>
      </c>
      <c r="I38" s="118"/>
      <c r="J38" s="118"/>
      <c r="K38" s="54"/>
      <c r="L38" s="191"/>
      <c r="M38" s="116"/>
      <c r="N38" s="119"/>
      <c r="O38" s="42" t="s">
        <v>20</v>
      </c>
      <c r="P38" s="15"/>
      <c r="Q38" s="15"/>
      <c r="R38" s="15"/>
      <c r="S38" s="15"/>
      <c r="T38" s="15"/>
      <c r="U38" s="15"/>
      <c r="V38" s="15"/>
      <c r="W38" s="15"/>
      <c r="X38" s="15"/>
      <c r="Y38" s="15"/>
      <c r="Z38" s="15"/>
      <c r="AA38" s="15"/>
      <c r="AB38" s="44"/>
    </row>
    <row r="39" spans="1:28" ht="19" customHeight="1" outlineLevel="1">
      <c r="A39" s="193"/>
      <c r="B39" s="199"/>
      <c r="C39" s="199"/>
      <c r="D39" s="68"/>
      <c r="E39" s="113" t="s">
        <v>177</v>
      </c>
      <c r="F39" s="210" t="s">
        <v>344</v>
      </c>
      <c r="G39" s="125" t="s">
        <v>343</v>
      </c>
      <c r="H39" s="43" t="s">
        <v>25</v>
      </c>
      <c r="I39" s="118" t="s">
        <v>15</v>
      </c>
      <c r="J39" s="118" t="s">
        <v>30</v>
      </c>
      <c r="K39" s="54"/>
      <c r="L39" s="191"/>
      <c r="M39" s="116"/>
      <c r="N39" s="119"/>
      <c r="O39" s="42" t="s">
        <v>18</v>
      </c>
      <c r="P39" s="53"/>
      <c r="Q39" s="53"/>
      <c r="R39" s="16"/>
      <c r="S39" s="16"/>
      <c r="T39" s="16"/>
      <c r="U39" s="16"/>
      <c r="V39" s="16"/>
      <c r="W39" s="16"/>
      <c r="X39" s="16"/>
      <c r="Y39" s="16"/>
      <c r="Z39" s="16"/>
      <c r="AA39" s="16"/>
      <c r="AB39" s="45"/>
    </row>
    <row r="40" spans="1:28" ht="19" customHeight="1" outlineLevel="1">
      <c r="A40" s="193"/>
      <c r="B40" s="199"/>
      <c r="C40" s="199"/>
      <c r="D40" s="68"/>
      <c r="E40" s="173"/>
      <c r="F40" s="211"/>
      <c r="G40" s="126"/>
      <c r="H40" s="43" t="s">
        <v>43</v>
      </c>
      <c r="I40" s="118"/>
      <c r="J40" s="118"/>
      <c r="K40" s="54"/>
      <c r="L40" s="191"/>
      <c r="M40" s="116"/>
      <c r="N40" s="119"/>
      <c r="O40" s="42" t="s">
        <v>20</v>
      </c>
      <c r="P40" s="15"/>
      <c r="Q40" s="15"/>
      <c r="R40" s="15"/>
      <c r="S40" s="15"/>
      <c r="T40" s="15"/>
      <c r="U40" s="15"/>
      <c r="V40" s="15"/>
      <c r="W40" s="15"/>
      <c r="X40" s="15"/>
      <c r="Y40" s="15"/>
      <c r="Z40" s="15"/>
      <c r="AA40" s="15"/>
      <c r="AB40" s="44"/>
    </row>
    <row r="41" spans="1:28" ht="19" customHeight="1" outlineLevel="1">
      <c r="A41" s="193"/>
      <c r="B41" s="199"/>
      <c r="C41" s="199"/>
      <c r="D41" s="68"/>
      <c r="E41" s="113" t="s">
        <v>132</v>
      </c>
      <c r="F41" s="210" t="s">
        <v>342</v>
      </c>
      <c r="G41" s="125" t="s">
        <v>341</v>
      </c>
      <c r="H41" s="43" t="s">
        <v>23</v>
      </c>
      <c r="I41" s="118" t="s">
        <v>15</v>
      </c>
      <c r="J41" s="118" t="s">
        <v>30</v>
      </c>
      <c r="K41" s="54"/>
      <c r="L41" s="191"/>
      <c r="M41" s="116"/>
      <c r="N41" s="119"/>
      <c r="O41" s="42" t="s">
        <v>18</v>
      </c>
      <c r="P41" s="53"/>
      <c r="Q41" s="53"/>
      <c r="R41" s="16"/>
      <c r="S41" s="16"/>
      <c r="T41" s="16"/>
      <c r="U41" s="16"/>
      <c r="V41" s="16"/>
      <c r="W41" s="16"/>
      <c r="X41" s="16"/>
      <c r="Y41" s="16"/>
      <c r="Z41" s="16"/>
      <c r="AA41" s="16"/>
      <c r="AB41" s="45"/>
    </row>
    <row r="42" spans="1:28" ht="19" customHeight="1" outlineLevel="1">
      <c r="A42" s="193"/>
      <c r="B42" s="199"/>
      <c r="C42" s="200"/>
      <c r="D42" s="69"/>
      <c r="E42" s="173"/>
      <c r="F42" s="211"/>
      <c r="G42" s="126"/>
      <c r="H42" s="43" t="s">
        <v>19</v>
      </c>
      <c r="I42" s="118"/>
      <c r="J42" s="118"/>
      <c r="K42" s="54"/>
      <c r="L42" s="191"/>
      <c r="M42" s="116"/>
      <c r="N42" s="119"/>
      <c r="O42" s="42" t="s">
        <v>20</v>
      </c>
      <c r="P42" s="15"/>
      <c r="Q42" s="15"/>
      <c r="R42" s="15"/>
      <c r="S42" s="15"/>
      <c r="T42" s="15"/>
      <c r="U42" s="15"/>
      <c r="V42" s="15"/>
      <c r="W42" s="15"/>
      <c r="X42" s="15"/>
      <c r="Y42" s="15"/>
      <c r="Z42" s="15"/>
      <c r="AA42" s="15"/>
      <c r="AB42" s="44"/>
    </row>
    <row r="43" spans="1:28" ht="19" customHeight="1" outlineLevel="1">
      <c r="A43" s="193"/>
      <c r="B43" s="199"/>
      <c r="C43" s="204" t="s">
        <v>179</v>
      </c>
      <c r="D43" s="67"/>
      <c r="E43" s="201" t="s">
        <v>187</v>
      </c>
      <c r="F43" s="210" t="s">
        <v>340</v>
      </c>
      <c r="G43" s="125" t="s">
        <v>339</v>
      </c>
      <c r="H43" s="91" t="s">
        <v>25</v>
      </c>
      <c r="I43" s="208" t="s">
        <v>15</v>
      </c>
      <c r="J43" s="208" t="s">
        <v>30</v>
      </c>
      <c r="K43" s="209" t="s">
        <v>41</v>
      </c>
      <c r="L43" s="136"/>
      <c r="M43" s="116"/>
      <c r="N43" s="119"/>
      <c r="O43" s="42" t="s">
        <v>18</v>
      </c>
      <c r="P43" s="53"/>
      <c r="Q43" s="53"/>
      <c r="R43" s="16"/>
      <c r="S43" s="16"/>
      <c r="T43" s="16"/>
      <c r="U43" s="16"/>
      <c r="V43" s="16"/>
      <c r="W43" s="16"/>
      <c r="X43" s="16"/>
      <c r="Y43" s="16"/>
      <c r="Z43" s="16"/>
      <c r="AA43" s="16"/>
      <c r="AB43" s="45"/>
    </row>
    <row r="44" spans="1:28" ht="19" customHeight="1" outlineLevel="1">
      <c r="A44" s="193"/>
      <c r="B44" s="199"/>
      <c r="C44" s="207"/>
      <c r="D44" s="69"/>
      <c r="E44" s="202"/>
      <c r="F44" s="211"/>
      <c r="G44" s="126"/>
      <c r="H44" s="92" t="s">
        <v>111</v>
      </c>
      <c r="I44" s="208"/>
      <c r="J44" s="208"/>
      <c r="K44" s="138"/>
      <c r="L44" s="137"/>
      <c r="M44" s="116"/>
      <c r="N44" s="119"/>
      <c r="O44" s="42" t="s">
        <v>20</v>
      </c>
      <c r="P44" s="15"/>
      <c r="Q44" s="15"/>
      <c r="R44" s="15"/>
      <c r="S44" s="15"/>
      <c r="T44" s="15"/>
      <c r="U44" s="15"/>
      <c r="V44" s="15"/>
      <c r="W44" s="15"/>
      <c r="X44" s="15"/>
      <c r="Y44" s="15"/>
      <c r="Z44" s="15"/>
      <c r="AA44" s="15"/>
      <c r="AB44" s="44"/>
    </row>
    <row r="45" spans="1:28" ht="19" customHeight="1" outlineLevel="1">
      <c r="A45" s="193"/>
      <c r="B45" s="199"/>
      <c r="C45" s="207"/>
      <c r="D45" s="67"/>
      <c r="E45" s="201" t="s">
        <v>133</v>
      </c>
      <c r="F45" s="210" t="s">
        <v>362</v>
      </c>
      <c r="G45" s="125" t="s">
        <v>361</v>
      </c>
      <c r="H45" s="46" t="s">
        <v>25</v>
      </c>
      <c r="I45" s="118" t="s">
        <v>42</v>
      </c>
      <c r="J45" s="208" t="s">
        <v>16</v>
      </c>
      <c r="K45" s="130" t="s">
        <v>41</v>
      </c>
      <c r="L45" s="117"/>
      <c r="M45" s="116"/>
      <c r="N45" s="119"/>
      <c r="O45" s="42" t="s">
        <v>18</v>
      </c>
      <c r="P45" s="53"/>
      <c r="Q45" s="53"/>
      <c r="R45" s="16"/>
      <c r="S45" s="16"/>
      <c r="T45" s="16"/>
      <c r="U45" s="16"/>
      <c r="V45" s="16"/>
      <c r="W45" s="16"/>
      <c r="X45" s="16"/>
      <c r="Y45" s="16"/>
      <c r="Z45" s="16"/>
      <c r="AA45" s="16"/>
      <c r="AB45" s="45"/>
    </row>
    <row r="46" spans="1:28" ht="19" customHeight="1" outlineLevel="1">
      <c r="A46" s="193"/>
      <c r="B46" s="199"/>
      <c r="C46" s="207"/>
      <c r="D46" s="69"/>
      <c r="E46" s="202"/>
      <c r="F46" s="211"/>
      <c r="G46" s="126"/>
      <c r="H46" s="47" t="s">
        <v>43</v>
      </c>
      <c r="I46" s="118"/>
      <c r="J46" s="208"/>
      <c r="K46" s="138"/>
      <c r="L46" s="117"/>
      <c r="M46" s="116"/>
      <c r="N46" s="119"/>
      <c r="O46" s="42" t="s">
        <v>20</v>
      </c>
      <c r="P46" s="15"/>
      <c r="Q46" s="15"/>
      <c r="R46" s="15"/>
      <c r="S46" s="15"/>
      <c r="T46" s="15"/>
      <c r="U46" s="15"/>
      <c r="V46" s="15"/>
      <c r="W46" s="15"/>
      <c r="X46" s="15"/>
      <c r="Y46" s="15"/>
      <c r="Z46" s="15"/>
      <c r="AA46" s="15"/>
      <c r="AB46" s="44"/>
    </row>
    <row r="47" spans="1:28" ht="19" customHeight="1" outlineLevel="1">
      <c r="A47" s="97"/>
      <c r="B47" s="199"/>
      <c r="C47" s="204"/>
      <c r="D47" s="67"/>
      <c r="E47" s="125" t="s">
        <v>345</v>
      </c>
      <c r="F47" s="210" t="s">
        <v>347</v>
      </c>
      <c r="G47" s="125" t="s">
        <v>346</v>
      </c>
      <c r="H47" s="41" t="s">
        <v>14</v>
      </c>
      <c r="I47" s="208" t="s">
        <v>15</v>
      </c>
      <c r="J47" s="208" t="s">
        <v>30</v>
      </c>
      <c r="K47" s="130" t="s">
        <v>28</v>
      </c>
      <c r="L47" s="115"/>
      <c r="M47" s="116"/>
      <c r="N47" s="119"/>
      <c r="O47" s="42" t="s">
        <v>18</v>
      </c>
      <c r="P47" s="53"/>
      <c r="Q47" s="53"/>
      <c r="R47" s="16"/>
      <c r="S47" s="16"/>
      <c r="T47" s="16"/>
      <c r="U47" s="16"/>
      <c r="V47" s="16"/>
      <c r="W47" s="16"/>
      <c r="X47" s="16"/>
      <c r="Y47" s="16"/>
      <c r="Z47" s="16"/>
      <c r="AA47" s="16"/>
      <c r="AB47" s="45"/>
    </row>
    <row r="48" spans="1:28" ht="19" customHeight="1" outlineLevel="1">
      <c r="A48" s="97"/>
      <c r="B48" s="199"/>
      <c r="C48" s="204"/>
      <c r="D48" s="69"/>
      <c r="E48" s="126"/>
      <c r="F48" s="211"/>
      <c r="G48" s="126"/>
      <c r="H48" s="43" t="s">
        <v>19</v>
      </c>
      <c r="I48" s="208"/>
      <c r="J48" s="208"/>
      <c r="K48" s="130"/>
      <c r="L48" s="115"/>
      <c r="M48" s="116"/>
      <c r="N48" s="119"/>
      <c r="O48" s="42" t="s">
        <v>20</v>
      </c>
      <c r="P48" s="15"/>
      <c r="Q48" s="15"/>
      <c r="R48" s="15"/>
      <c r="S48" s="15"/>
      <c r="T48" s="15"/>
      <c r="U48" s="15"/>
      <c r="V48" s="15"/>
      <c r="W48" s="15"/>
      <c r="X48" s="15"/>
      <c r="Y48" s="15"/>
      <c r="Z48" s="15"/>
      <c r="AA48" s="15"/>
      <c r="AB48" s="44"/>
    </row>
    <row r="49" spans="1:28" ht="19" customHeight="1" outlineLevel="1">
      <c r="A49" s="97"/>
      <c r="B49" s="199"/>
      <c r="C49" s="204"/>
      <c r="D49" s="67"/>
      <c r="E49" s="205" t="s">
        <v>247</v>
      </c>
      <c r="F49" s="210" t="s">
        <v>349</v>
      </c>
      <c r="G49" s="125" t="s">
        <v>348</v>
      </c>
      <c r="H49" s="41"/>
      <c r="I49" s="208" t="s">
        <v>15</v>
      </c>
      <c r="J49" s="208" t="s">
        <v>30</v>
      </c>
      <c r="K49" s="130" t="s">
        <v>28</v>
      </c>
      <c r="L49" s="115"/>
      <c r="M49" s="116"/>
      <c r="N49" s="119"/>
      <c r="O49" s="42" t="s">
        <v>18</v>
      </c>
      <c r="P49" s="53"/>
      <c r="Q49" s="53"/>
      <c r="R49" s="16"/>
      <c r="S49" s="16"/>
      <c r="T49" s="16"/>
      <c r="U49" s="16"/>
      <c r="V49" s="16"/>
      <c r="W49" s="16"/>
      <c r="X49" s="16"/>
      <c r="Y49" s="16"/>
      <c r="Z49" s="16"/>
      <c r="AA49" s="16"/>
      <c r="AB49" s="45"/>
    </row>
    <row r="50" spans="1:28" ht="19" customHeight="1" outlineLevel="1">
      <c r="A50" s="97"/>
      <c r="B50" s="199"/>
      <c r="C50" s="204"/>
      <c r="D50" s="69"/>
      <c r="E50" s="206"/>
      <c r="F50" s="211"/>
      <c r="G50" s="126"/>
      <c r="H50" s="43"/>
      <c r="I50" s="208"/>
      <c r="J50" s="208"/>
      <c r="K50" s="130"/>
      <c r="L50" s="115"/>
      <c r="M50" s="116"/>
      <c r="N50" s="119"/>
      <c r="O50" s="42" t="s">
        <v>20</v>
      </c>
      <c r="P50" s="15"/>
      <c r="Q50" s="15"/>
      <c r="R50" s="15"/>
      <c r="S50" s="15"/>
      <c r="T50" s="15"/>
      <c r="U50" s="15"/>
      <c r="V50" s="15"/>
      <c r="W50" s="15"/>
      <c r="X50" s="15"/>
      <c r="Y50" s="15"/>
      <c r="Z50" s="15"/>
      <c r="AA50" s="15"/>
      <c r="AB50" s="44"/>
    </row>
    <row r="51" spans="1:28" ht="19" customHeight="1" outlineLevel="1">
      <c r="A51" s="97"/>
      <c r="B51" s="199"/>
      <c r="C51" s="204"/>
      <c r="D51" s="67"/>
      <c r="E51" s="139" t="s">
        <v>248</v>
      </c>
      <c r="F51" s="210" t="s">
        <v>353</v>
      </c>
      <c r="G51" s="125" t="s">
        <v>350</v>
      </c>
      <c r="H51" s="46"/>
      <c r="I51" s="208" t="s">
        <v>15</v>
      </c>
      <c r="J51" s="208" t="s">
        <v>30</v>
      </c>
      <c r="K51" s="130" t="s">
        <v>28</v>
      </c>
      <c r="L51" s="117"/>
      <c r="M51" s="116"/>
      <c r="N51" s="119"/>
      <c r="O51" s="42" t="s">
        <v>18</v>
      </c>
      <c r="P51" s="53"/>
      <c r="Q51" s="53"/>
      <c r="R51" s="16"/>
      <c r="S51" s="16"/>
      <c r="T51" s="16"/>
      <c r="U51" s="16"/>
      <c r="V51" s="16"/>
      <c r="W51" s="16"/>
      <c r="X51" s="16"/>
      <c r="Y51" s="16"/>
      <c r="Z51" s="16"/>
      <c r="AA51" s="16"/>
      <c r="AB51" s="45"/>
    </row>
    <row r="52" spans="1:28" ht="19" customHeight="1" outlineLevel="1">
      <c r="A52" s="97"/>
      <c r="B52" s="199"/>
      <c r="C52" s="204"/>
      <c r="D52" s="69"/>
      <c r="E52" s="140"/>
      <c r="F52" s="211"/>
      <c r="G52" s="126"/>
      <c r="H52" s="43"/>
      <c r="I52" s="208"/>
      <c r="J52" s="208"/>
      <c r="K52" s="130"/>
      <c r="L52" s="117"/>
      <c r="M52" s="116"/>
      <c r="N52" s="119"/>
      <c r="O52" s="42" t="s">
        <v>20</v>
      </c>
      <c r="P52" s="15"/>
      <c r="Q52" s="15"/>
      <c r="R52" s="15"/>
      <c r="S52" s="15"/>
      <c r="T52" s="15"/>
      <c r="U52" s="15"/>
      <c r="V52" s="15"/>
      <c r="W52" s="15"/>
      <c r="X52" s="15"/>
      <c r="Y52" s="15"/>
      <c r="Z52" s="15"/>
      <c r="AA52" s="15"/>
      <c r="AB52" s="44"/>
    </row>
    <row r="53" spans="1:28" ht="19" customHeight="1" outlineLevel="1">
      <c r="A53" s="86"/>
      <c r="B53" s="199"/>
      <c r="C53" s="204"/>
      <c r="D53" s="67"/>
      <c r="E53" s="201" t="s">
        <v>249</v>
      </c>
      <c r="F53" s="210" t="s">
        <v>352</v>
      </c>
      <c r="G53" s="125" t="s">
        <v>351</v>
      </c>
      <c r="H53" s="46"/>
      <c r="I53" s="208" t="s">
        <v>15</v>
      </c>
      <c r="J53" s="208" t="s">
        <v>30</v>
      </c>
      <c r="K53" s="130" t="s">
        <v>28</v>
      </c>
      <c r="L53" s="203"/>
      <c r="M53" s="116"/>
      <c r="N53" s="119"/>
      <c r="O53" s="42" t="s">
        <v>18</v>
      </c>
      <c r="P53" s="53"/>
      <c r="Q53" s="53"/>
      <c r="R53" s="16"/>
      <c r="S53" s="16"/>
      <c r="T53" s="16"/>
      <c r="U53" s="16"/>
      <c r="V53" s="16"/>
      <c r="W53" s="16"/>
      <c r="X53" s="16"/>
      <c r="Y53" s="16"/>
      <c r="Z53" s="16"/>
      <c r="AA53" s="16"/>
      <c r="AB53" s="45"/>
    </row>
    <row r="54" spans="1:28" ht="19" customHeight="1" outlineLevel="1">
      <c r="A54" s="86"/>
      <c r="B54" s="199"/>
      <c r="C54" s="204"/>
      <c r="D54" s="69"/>
      <c r="E54" s="202"/>
      <c r="F54" s="211"/>
      <c r="G54" s="126"/>
      <c r="H54" s="47"/>
      <c r="I54" s="208"/>
      <c r="J54" s="208"/>
      <c r="K54" s="130"/>
      <c r="L54" s="203"/>
      <c r="M54" s="116"/>
      <c r="N54" s="119"/>
      <c r="O54" s="42" t="s">
        <v>20</v>
      </c>
      <c r="P54" s="15"/>
      <c r="Q54" s="15"/>
      <c r="R54" s="15"/>
      <c r="S54" s="15"/>
      <c r="T54" s="15"/>
      <c r="U54" s="15"/>
      <c r="V54" s="15"/>
      <c r="W54" s="15"/>
      <c r="X54" s="15"/>
      <c r="Y54" s="15"/>
      <c r="Z54" s="15"/>
      <c r="AA54" s="15"/>
      <c r="AB54" s="44"/>
    </row>
    <row r="55" spans="1:28" ht="19" customHeight="1" outlineLevel="1">
      <c r="A55" s="86"/>
      <c r="B55" s="199"/>
      <c r="C55" s="204"/>
      <c r="D55" s="67"/>
      <c r="E55" s="201" t="s">
        <v>250</v>
      </c>
      <c r="F55" s="210" t="s">
        <v>355</v>
      </c>
      <c r="G55" s="125" t="s">
        <v>354</v>
      </c>
      <c r="H55" s="46" t="s">
        <v>14</v>
      </c>
      <c r="I55" s="208" t="s">
        <v>15</v>
      </c>
      <c r="J55" s="208" t="s">
        <v>30</v>
      </c>
      <c r="K55" s="130" t="s">
        <v>28</v>
      </c>
      <c r="L55" s="203"/>
      <c r="M55" s="116"/>
      <c r="N55" s="119"/>
      <c r="O55" s="42" t="s">
        <v>18</v>
      </c>
      <c r="P55" s="53"/>
      <c r="Q55" s="53"/>
      <c r="R55" s="16"/>
      <c r="S55" s="16"/>
      <c r="T55" s="16"/>
      <c r="U55" s="16"/>
      <c r="V55" s="16"/>
      <c r="W55" s="16"/>
      <c r="X55" s="16"/>
      <c r="Y55" s="16"/>
      <c r="Z55" s="16"/>
      <c r="AA55" s="16"/>
      <c r="AB55" s="45"/>
    </row>
    <row r="56" spans="1:28" ht="19" customHeight="1" outlineLevel="1">
      <c r="A56" s="86"/>
      <c r="B56" s="199"/>
      <c r="C56" s="204"/>
      <c r="D56" s="69"/>
      <c r="E56" s="202"/>
      <c r="F56" s="211"/>
      <c r="G56" s="126"/>
      <c r="H56" s="47" t="s">
        <v>38</v>
      </c>
      <c r="I56" s="208"/>
      <c r="J56" s="208"/>
      <c r="K56" s="130"/>
      <c r="L56" s="203"/>
      <c r="M56" s="116"/>
      <c r="N56" s="119"/>
      <c r="O56" s="42" t="s">
        <v>20</v>
      </c>
      <c r="P56" s="15"/>
      <c r="Q56" s="15"/>
      <c r="R56" s="15"/>
      <c r="S56" s="15"/>
      <c r="T56" s="15"/>
      <c r="U56" s="15"/>
      <c r="V56" s="15"/>
      <c r="W56" s="15"/>
      <c r="X56" s="15"/>
      <c r="Y56" s="15"/>
      <c r="Z56" s="15"/>
      <c r="AA56" s="15"/>
      <c r="AB56" s="44"/>
    </row>
    <row r="57" spans="1:28" ht="19" customHeight="1" outlineLevel="1">
      <c r="A57" s="86"/>
      <c r="B57" s="199"/>
      <c r="C57" s="204"/>
      <c r="D57" s="67"/>
      <c r="E57" s="201" t="s">
        <v>356</v>
      </c>
      <c r="F57" s="210"/>
      <c r="G57" s="125" t="s">
        <v>357</v>
      </c>
      <c r="H57" s="46" t="s">
        <v>48</v>
      </c>
      <c r="I57" s="208" t="s">
        <v>15</v>
      </c>
      <c r="J57" s="208" t="s">
        <v>30</v>
      </c>
      <c r="K57" s="130" t="s">
        <v>28</v>
      </c>
      <c r="L57" s="203"/>
      <c r="M57" s="116"/>
      <c r="N57" s="119"/>
      <c r="O57" s="42" t="s">
        <v>18</v>
      </c>
      <c r="P57" s="53"/>
      <c r="Q57" s="53"/>
      <c r="R57" s="16"/>
      <c r="S57" s="16"/>
      <c r="T57" s="16"/>
      <c r="U57" s="16"/>
      <c r="V57" s="16"/>
      <c r="W57" s="16"/>
      <c r="X57" s="16"/>
      <c r="Y57" s="16"/>
      <c r="Z57" s="16"/>
      <c r="AA57" s="16"/>
      <c r="AB57" s="45"/>
    </row>
    <row r="58" spans="1:28" ht="19" customHeight="1" outlineLevel="1">
      <c r="A58" s="86"/>
      <c r="B58" s="199"/>
      <c r="C58" s="204"/>
      <c r="D58" s="69"/>
      <c r="E58" s="202"/>
      <c r="F58" s="211"/>
      <c r="G58" s="126"/>
      <c r="H58" s="47" t="s">
        <v>43</v>
      </c>
      <c r="I58" s="208"/>
      <c r="J58" s="208"/>
      <c r="K58" s="130"/>
      <c r="L58" s="203"/>
      <c r="M58" s="116"/>
      <c r="N58" s="119"/>
      <c r="O58" s="42" t="s">
        <v>20</v>
      </c>
      <c r="P58" s="15"/>
      <c r="Q58" s="15"/>
      <c r="R58" s="15"/>
      <c r="S58" s="15"/>
      <c r="T58" s="15"/>
      <c r="U58" s="15"/>
      <c r="V58" s="15"/>
      <c r="W58" s="15"/>
      <c r="X58" s="15"/>
      <c r="Y58" s="15"/>
      <c r="Z58" s="15"/>
      <c r="AA58" s="15"/>
      <c r="AB58" s="44"/>
    </row>
    <row r="59" spans="1:28" ht="19" customHeight="1" outlineLevel="1">
      <c r="A59" s="86"/>
      <c r="B59" s="199"/>
      <c r="C59" s="204"/>
      <c r="D59" s="67"/>
      <c r="E59" s="201" t="s">
        <v>251</v>
      </c>
      <c r="F59" s="210"/>
      <c r="G59" s="125" t="s">
        <v>359</v>
      </c>
      <c r="H59" s="46" t="s">
        <v>48</v>
      </c>
      <c r="I59" s="208" t="s">
        <v>15</v>
      </c>
      <c r="J59" s="208" t="s">
        <v>30</v>
      </c>
      <c r="K59" s="130" t="s">
        <v>28</v>
      </c>
      <c r="L59" s="203"/>
      <c r="M59" s="116"/>
      <c r="N59" s="119"/>
      <c r="O59" s="42" t="s">
        <v>18</v>
      </c>
      <c r="P59" s="53"/>
      <c r="Q59" s="53"/>
      <c r="R59" s="16"/>
      <c r="S59" s="16"/>
      <c r="T59" s="16"/>
      <c r="U59" s="16"/>
      <c r="V59" s="16"/>
      <c r="W59" s="16"/>
      <c r="X59" s="16"/>
      <c r="Y59" s="16"/>
      <c r="Z59" s="16"/>
      <c r="AA59" s="16"/>
      <c r="AB59" s="45"/>
    </row>
    <row r="60" spans="1:28" ht="19" customHeight="1" outlineLevel="1">
      <c r="A60" s="86"/>
      <c r="B60" s="199"/>
      <c r="C60" s="204"/>
      <c r="D60" s="69"/>
      <c r="E60" s="202"/>
      <c r="F60" s="211"/>
      <c r="G60" s="126"/>
      <c r="H60" s="47" t="s">
        <v>35</v>
      </c>
      <c r="I60" s="208"/>
      <c r="J60" s="208"/>
      <c r="K60" s="130"/>
      <c r="L60" s="203"/>
      <c r="M60" s="116"/>
      <c r="N60" s="119"/>
      <c r="O60" s="42" t="s">
        <v>20</v>
      </c>
      <c r="P60" s="15"/>
      <c r="Q60" s="15"/>
      <c r="R60" s="15"/>
      <c r="S60" s="15"/>
      <c r="T60" s="15"/>
      <c r="U60" s="15"/>
      <c r="V60" s="15"/>
      <c r="W60" s="15"/>
      <c r="X60" s="15"/>
      <c r="Y60" s="15"/>
      <c r="Z60" s="15"/>
      <c r="AA60" s="15"/>
      <c r="AB60" s="44"/>
    </row>
    <row r="61" spans="1:28" ht="19" customHeight="1" outlineLevel="1">
      <c r="A61" s="86"/>
      <c r="B61" s="199"/>
      <c r="C61" s="204"/>
      <c r="D61" s="67"/>
      <c r="E61" s="201" t="s">
        <v>252</v>
      </c>
      <c r="F61" s="210"/>
      <c r="G61" s="125" t="s">
        <v>358</v>
      </c>
      <c r="H61" s="46" t="s">
        <v>14</v>
      </c>
      <c r="I61" s="208" t="s">
        <v>15</v>
      </c>
      <c r="J61" s="208" t="s">
        <v>30</v>
      </c>
      <c r="K61" s="130" t="s">
        <v>28</v>
      </c>
      <c r="L61" s="203"/>
      <c r="M61" s="116"/>
      <c r="N61" s="119"/>
      <c r="O61" s="42" t="s">
        <v>18</v>
      </c>
      <c r="P61" s="53"/>
      <c r="Q61" s="53"/>
      <c r="R61" s="16"/>
      <c r="S61" s="16"/>
      <c r="T61" s="16"/>
      <c r="U61" s="16"/>
      <c r="V61" s="16"/>
      <c r="W61" s="16"/>
      <c r="X61" s="16"/>
      <c r="Y61" s="16"/>
      <c r="Z61" s="16"/>
      <c r="AA61" s="16"/>
      <c r="AB61" s="45"/>
    </row>
    <row r="62" spans="1:28" ht="19" customHeight="1" outlineLevel="1">
      <c r="A62" s="86"/>
      <c r="B62" s="199"/>
      <c r="C62" s="204"/>
      <c r="D62" s="69"/>
      <c r="E62" s="202"/>
      <c r="F62" s="211"/>
      <c r="G62" s="126"/>
      <c r="H62" s="47" t="s">
        <v>43</v>
      </c>
      <c r="I62" s="208"/>
      <c r="J62" s="208"/>
      <c r="K62" s="130"/>
      <c r="L62" s="203"/>
      <c r="M62" s="116"/>
      <c r="N62" s="119"/>
      <c r="O62" s="42" t="s">
        <v>20</v>
      </c>
      <c r="P62" s="15"/>
      <c r="Q62" s="15"/>
      <c r="R62" s="15"/>
      <c r="S62" s="15"/>
      <c r="T62" s="15"/>
      <c r="U62" s="15"/>
      <c r="V62" s="15"/>
      <c r="W62" s="15"/>
      <c r="X62" s="15"/>
      <c r="Y62" s="15"/>
      <c r="Z62" s="15"/>
      <c r="AA62" s="15"/>
      <c r="AB62" s="44"/>
    </row>
    <row r="63" spans="1:28" ht="22" customHeight="1">
      <c r="A63" s="87"/>
      <c r="B63" s="212" t="s">
        <v>190</v>
      </c>
      <c r="C63" s="212"/>
      <c r="D63" s="67"/>
      <c r="E63" s="113" t="s">
        <v>163</v>
      </c>
      <c r="F63" s="210" t="s">
        <v>285</v>
      </c>
      <c r="G63" s="125" t="s">
        <v>284</v>
      </c>
      <c r="H63" s="46" t="s">
        <v>23</v>
      </c>
      <c r="I63" s="118" t="s">
        <v>50</v>
      </c>
      <c r="J63" s="118" t="s">
        <v>16</v>
      </c>
      <c r="K63" s="130"/>
      <c r="L63" s="117"/>
      <c r="M63" s="116"/>
      <c r="N63" s="119"/>
      <c r="O63" s="42" t="s">
        <v>18</v>
      </c>
      <c r="P63" s="53"/>
      <c r="Q63" s="53"/>
      <c r="R63" s="16"/>
      <c r="S63" s="16"/>
      <c r="T63" s="16"/>
      <c r="U63" s="16"/>
      <c r="V63" s="16"/>
      <c r="W63" s="16"/>
      <c r="X63" s="16"/>
      <c r="Y63" s="16"/>
      <c r="Z63" s="16"/>
      <c r="AA63" s="16"/>
      <c r="AB63" s="45"/>
    </row>
    <row r="64" spans="1:28" ht="22" customHeight="1">
      <c r="A64" s="87"/>
      <c r="B64" s="212"/>
      <c r="C64" s="212"/>
      <c r="D64" s="69"/>
      <c r="E64" s="173"/>
      <c r="F64" s="211"/>
      <c r="G64" s="126"/>
      <c r="H64" s="47" t="s">
        <v>19</v>
      </c>
      <c r="I64" s="118"/>
      <c r="J64" s="118"/>
      <c r="K64" s="130"/>
      <c r="L64" s="117"/>
      <c r="M64" s="116"/>
      <c r="N64" s="119"/>
      <c r="O64" s="42" t="s">
        <v>20</v>
      </c>
      <c r="P64" s="15"/>
      <c r="Q64" s="15"/>
      <c r="R64" s="15"/>
      <c r="S64" s="15"/>
      <c r="T64" s="15"/>
      <c r="U64" s="15"/>
      <c r="V64" s="15"/>
      <c r="W64" s="15"/>
      <c r="X64" s="15"/>
      <c r="Y64" s="15"/>
      <c r="Z64" s="15"/>
      <c r="AA64" s="15"/>
      <c r="AB64" s="44"/>
    </row>
    <row r="65" spans="1:28" ht="22" customHeight="1">
      <c r="A65" s="87"/>
      <c r="B65" s="212"/>
      <c r="C65" s="212"/>
      <c r="D65" s="67"/>
      <c r="E65" s="113" t="s">
        <v>286</v>
      </c>
      <c r="F65" s="210" t="s">
        <v>332</v>
      </c>
      <c r="G65" s="125" t="s">
        <v>287</v>
      </c>
      <c r="H65" s="46" t="s">
        <v>23</v>
      </c>
      <c r="I65" s="118" t="s">
        <v>15</v>
      </c>
      <c r="J65" s="118" t="s">
        <v>30</v>
      </c>
      <c r="K65" s="130"/>
      <c r="L65" s="117"/>
      <c r="M65" s="116"/>
      <c r="N65" s="119"/>
      <c r="O65" s="42" t="s">
        <v>18</v>
      </c>
      <c r="P65" s="53"/>
      <c r="Q65" s="53"/>
      <c r="R65" s="16"/>
      <c r="S65" s="16"/>
      <c r="T65" s="16"/>
      <c r="U65" s="16"/>
      <c r="V65" s="16"/>
      <c r="W65" s="16"/>
      <c r="X65" s="16"/>
      <c r="Y65" s="16"/>
      <c r="Z65" s="16"/>
      <c r="AA65" s="16"/>
      <c r="AB65" s="45"/>
    </row>
    <row r="66" spans="1:28" ht="22" customHeight="1">
      <c r="A66" s="87"/>
      <c r="B66" s="212"/>
      <c r="C66" s="212"/>
      <c r="D66" s="69"/>
      <c r="E66" s="173"/>
      <c r="F66" s="211"/>
      <c r="G66" s="126"/>
      <c r="H66" s="47" t="s">
        <v>38</v>
      </c>
      <c r="I66" s="118"/>
      <c r="J66" s="118"/>
      <c r="K66" s="130"/>
      <c r="L66" s="117"/>
      <c r="M66" s="116"/>
      <c r="N66" s="119"/>
      <c r="O66" s="42" t="s">
        <v>20</v>
      </c>
      <c r="P66" s="15"/>
      <c r="Q66" s="15"/>
      <c r="R66" s="15"/>
      <c r="S66" s="15"/>
      <c r="T66" s="15"/>
      <c r="U66" s="15"/>
      <c r="V66" s="15"/>
      <c r="W66" s="15"/>
      <c r="X66" s="15"/>
      <c r="Y66" s="15"/>
      <c r="Z66" s="15"/>
      <c r="AA66" s="15"/>
      <c r="AB66" s="44"/>
    </row>
    <row r="67" spans="1:28" ht="22" customHeight="1">
      <c r="A67" s="87"/>
      <c r="B67" s="212"/>
      <c r="C67" s="212"/>
      <c r="D67" s="67"/>
      <c r="E67" s="113" t="s">
        <v>165</v>
      </c>
      <c r="F67" s="210" t="s">
        <v>331</v>
      </c>
      <c r="G67" s="125" t="s">
        <v>288</v>
      </c>
      <c r="H67" s="46" t="s">
        <v>25</v>
      </c>
      <c r="I67" s="118" t="s">
        <v>45</v>
      </c>
      <c r="J67" s="118" t="s">
        <v>16</v>
      </c>
      <c r="K67" s="130"/>
      <c r="L67" s="117"/>
      <c r="M67" s="116"/>
      <c r="N67" s="119"/>
      <c r="O67" s="42" t="s">
        <v>18</v>
      </c>
      <c r="P67" s="53"/>
      <c r="Q67" s="53"/>
      <c r="R67" s="16"/>
      <c r="S67" s="16"/>
      <c r="T67" s="16"/>
      <c r="U67" s="16"/>
      <c r="V67" s="16"/>
      <c r="W67" s="16"/>
      <c r="X67" s="16"/>
      <c r="Y67" s="16"/>
      <c r="Z67" s="16"/>
      <c r="AA67" s="16"/>
      <c r="AB67" s="45"/>
    </row>
    <row r="68" spans="1:28" ht="22" customHeight="1">
      <c r="A68" s="87"/>
      <c r="B68" s="212"/>
      <c r="C68" s="212"/>
      <c r="D68" s="69"/>
      <c r="E68" s="173"/>
      <c r="F68" s="211"/>
      <c r="G68" s="126"/>
      <c r="H68" s="47" t="s">
        <v>164</v>
      </c>
      <c r="I68" s="118"/>
      <c r="J68" s="118"/>
      <c r="K68" s="130"/>
      <c r="L68" s="117"/>
      <c r="M68" s="116"/>
      <c r="N68" s="119"/>
      <c r="O68" s="42" t="s">
        <v>20</v>
      </c>
      <c r="P68" s="15"/>
      <c r="Q68" s="15"/>
      <c r="R68" s="15"/>
      <c r="S68" s="15"/>
      <c r="T68" s="15"/>
      <c r="U68" s="15"/>
      <c r="V68" s="15"/>
      <c r="W68" s="15"/>
      <c r="X68" s="15"/>
      <c r="Y68" s="15"/>
      <c r="Z68" s="15"/>
      <c r="AA68" s="15"/>
      <c r="AB68" s="44"/>
    </row>
    <row r="69" spans="1:28" ht="22" customHeight="1">
      <c r="A69" s="87"/>
      <c r="B69" s="212"/>
      <c r="C69" s="212"/>
      <c r="D69" s="67"/>
      <c r="E69" s="113" t="s">
        <v>166</v>
      </c>
      <c r="F69" s="210" t="s">
        <v>330</v>
      </c>
      <c r="G69" s="125" t="s">
        <v>289</v>
      </c>
      <c r="H69" s="46" t="s">
        <v>25</v>
      </c>
      <c r="I69" s="118" t="s">
        <v>45</v>
      </c>
      <c r="J69" s="118" t="s">
        <v>16</v>
      </c>
      <c r="K69" s="130"/>
      <c r="L69" s="117"/>
      <c r="M69" s="116"/>
      <c r="N69" s="119"/>
      <c r="O69" s="42" t="s">
        <v>18</v>
      </c>
      <c r="P69" s="53"/>
      <c r="Q69" s="53"/>
      <c r="R69" s="16"/>
      <c r="S69" s="16"/>
      <c r="T69" s="16"/>
      <c r="U69" s="16"/>
      <c r="V69" s="16"/>
      <c r="W69" s="16"/>
      <c r="X69" s="16"/>
      <c r="Y69" s="16"/>
      <c r="Z69" s="16"/>
      <c r="AA69" s="16"/>
      <c r="AB69" s="45"/>
    </row>
    <row r="70" spans="1:28" ht="22" customHeight="1">
      <c r="A70" s="87"/>
      <c r="B70" s="212"/>
      <c r="C70" s="212"/>
      <c r="D70" s="69"/>
      <c r="E70" s="173"/>
      <c r="F70" s="211"/>
      <c r="G70" s="126"/>
      <c r="H70" s="47" t="s">
        <v>164</v>
      </c>
      <c r="I70" s="118"/>
      <c r="J70" s="118"/>
      <c r="K70" s="130"/>
      <c r="L70" s="117"/>
      <c r="M70" s="116"/>
      <c r="N70" s="119"/>
      <c r="O70" s="42" t="s">
        <v>20</v>
      </c>
      <c r="P70" s="15"/>
      <c r="Q70" s="15"/>
      <c r="R70" s="15"/>
      <c r="S70" s="15"/>
      <c r="T70" s="15"/>
      <c r="U70" s="15"/>
      <c r="V70" s="15"/>
      <c r="W70" s="15"/>
      <c r="X70" s="15"/>
      <c r="Y70" s="15"/>
      <c r="Z70" s="15"/>
      <c r="AA70" s="15"/>
      <c r="AB70" s="44"/>
    </row>
    <row r="71" spans="1:28" ht="22" customHeight="1">
      <c r="A71" s="87"/>
      <c r="B71" s="212"/>
      <c r="C71" s="212"/>
      <c r="D71" s="67"/>
      <c r="E71" s="113" t="s">
        <v>99</v>
      </c>
      <c r="F71" s="210" t="s">
        <v>291</v>
      </c>
      <c r="G71" s="125" t="s">
        <v>290</v>
      </c>
      <c r="H71" s="46" t="s">
        <v>23</v>
      </c>
      <c r="I71" s="118" t="s">
        <v>50</v>
      </c>
      <c r="J71" s="118" t="s">
        <v>16</v>
      </c>
      <c r="K71" s="130"/>
      <c r="L71" s="117"/>
      <c r="M71" s="116"/>
      <c r="N71" s="119"/>
      <c r="O71" s="42" t="s">
        <v>18</v>
      </c>
      <c r="P71" s="53"/>
      <c r="Q71" s="53"/>
      <c r="R71" s="16"/>
      <c r="S71" s="16"/>
      <c r="T71" s="16"/>
      <c r="U71" s="16"/>
      <c r="V71" s="16"/>
      <c r="W71" s="16"/>
      <c r="X71" s="16"/>
      <c r="Y71" s="16"/>
      <c r="Z71" s="16"/>
      <c r="AA71" s="16"/>
      <c r="AB71" s="45"/>
    </row>
    <row r="72" spans="1:28" ht="22" customHeight="1">
      <c r="A72" s="87"/>
      <c r="B72" s="212"/>
      <c r="C72" s="212"/>
      <c r="D72" s="69"/>
      <c r="E72" s="173"/>
      <c r="F72" s="211"/>
      <c r="G72" s="126"/>
      <c r="H72" s="47" t="s">
        <v>43</v>
      </c>
      <c r="I72" s="118"/>
      <c r="J72" s="118"/>
      <c r="K72" s="130"/>
      <c r="L72" s="117"/>
      <c r="M72" s="116"/>
      <c r="N72" s="119"/>
      <c r="O72" s="42" t="s">
        <v>20</v>
      </c>
      <c r="P72" s="15"/>
      <c r="Q72" s="15"/>
      <c r="R72" s="15"/>
      <c r="S72" s="15"/>
      <c r="T72" s="15"/>
      <c r="U72" s="15"/>
      <c r="V72" s="15"/>
      <c r="W72" s="15"/>
      <c r="X72" s="15"/>
      <c r="Y72" s="15"/>
      <c r="Z72" s="15"/>
      <c r="AA72" s="15"/>
      <c r="AB72" s="44"/>
    </row>
    <row r="73" spans="1:28" ht="22" customHeight="1">
      <c r="A73"/>
      <c r="B73" s="212"/>
      <c r="C73" s="212"/>
      <c r="D73" s="67"/>
      <c r="E73" s="113" t="s">
        <v>100</v>
      </c>
      <c r="F73" s="210" t="s">
        <v>329</v>
      </c>
      <c r="G73" s="125" t="s">
        <v>292</v>
      </c>
      <c r="H73" s="46" t="s">
        <v>23</v>
      </c>
      <c r="I73" s="118" t="s">
        <v>40</v>
      </c>
      <c r="J73" s="118" t="s">
        <v>30</v>
      </c>
      <c r="K73" s="130" t="s">
        <v>39</v>
      </c>
      <c r="L73" s="117"/>
      <c r="M73" s="116"/>
      <c r="N73" s="119"/>
      <c r="O73" s="42" t="s">
        <v>18</v>
      </c>
      <c r="P73" s="53"/>
      <c r="Q73" s="53"/>
      <c r="R73" s="16"/>
      <c r="S73" s="16"/>
      <c r="T73" s="16"/>
      <c r="U73" s="16"/>
      <c r="V73" s="16"/>
      <c r="W73" s="16"/>
      <c r="X73" s="16"/>
      <c r="Y73" s="16"/>
      <c r="Z73" s="16"/>
      <c r="AA73" s="16"/>
      <c r="AB73" s="45"/>
    </row>
    <row r="74" spans="1:28" ht="22" customHeight="1">
      <c r="A74"/>
      <c r="B74" s="212"/>
      <c r="C74" s="212"/>
      <c r="D74" s="69"/>
      <c r="E74" s="173"/>
      <c r="F74" s="211"/>
      <c r="G74" s="126"/>
      <c r="H74" s="47" t="s">
        <v>38</v>
      </c>
      <c r="I74" s="118"/>
      <c r="J74" s="118"/>
      <c r="K74" s="130"/>
      <c r="L74" s="117"/>
      <c r="M74" s="116"/>
      <c r="N74" s="119"/>
      <c r="O74" s="42" t="s">
        <v>20</v>
      </c>
      <c r="P74" s="15"/>
      <c r="Q74" s="15"/>
      <c r="R74" s="15"/>
      <c r="S74" s="15"/>
      <c r="T74" s="15"/>
      <c r="U74" s="15"/>
      <c r="V74" s="15"/>
      <c r="W74" s="15"/>
      <c r="X74" s="15"/>
      <c r="Y74" s="15"/>
      <c r="Z74" s="15"/>
      <c r="AA74" s="15"/>
      <c r="AB74" s="44"/>
    </row>
    <row r="75" spans="1:28" ht="22" customHeight="1">
      <c r="A75" s="87"/>
      <c r="B75" s="213" t="s">
        <v>191</v>
      </c>
      <c r="C75" s="213"/>
      <c r="D75" s="67"/>
      <c r="E75" s="125" t="s">
        <v>265</v>
      </c>
      <c r="F75" s="210" t="s">
        <v>263</v>
      </c>
      <c r="G75" s="125" t="s">
        <v>264</v>
      </c>
      <c r="H75" s="46" t="s">
        <v>25</v>
      </c>
      <c r="I75" s="147" t="s">
        <v>15</v>
      </c>
      <c r="J75" s="118" t="s">
        <v>30</v>
      </c>
      <c r="K75" s="130" t="s">
        <v>39</v>
      </c>
      <c r="L75" s="117"/>
      <c r="M75" s="116"/>
      <c r="N75" s="119"/>
      <c r="O75" s="42" t="s">
        <v>18</v>
      </c>
      <c r="P75" s="53"/>
      <c r="Q75" s="53"/>
      <c r="R75" s="16"/>
      <c r="S75" s="16"/>
      <c r="T75" s="16"/>
      <c r="U75" s="16"/>
      <c r="V75" s="16"/>
      <c r="W75" s="16"/>
      <c r="X75" s="16"/>
      <c r="Y75" s="16"/>
      <c r="Z75" s="16"/>
      <c r="AA75" s="16"/>
      <c r="AB75" s="45"/>
    </row>
    <row r="76" spans="1:28" ht="22" customHeight="1">
      <c r="A76" s="87"/>
      <c r="B76" s="213"/>
      <c r="C76" s="213"/>
      <c r="D76" s="69"/>
      <c r="E76" s="126"/>
      <c r="F76" s="211"/>
      <c r="G76" s="126"/>
      <c r="H76" s="47" t="s">
        <v>38</v>
      </c>
      <c r="I76" s="147"/>
      <c r="J76" s="118"/>
      <c r="K76" s="130"/>
      <c r="L76" s="117"/>
      <c r="M76" s="116"/>
      <c r="N76" s="119"/>
      <c r="O76" s="42" t="s">
        <v>20</v>
      </c>
      <c r="P76" s="15"/>
      <c r="Q76" s="15"/>
      <c r="R76" s="15"/>
      <c r="S76" s="15"/>
      <c r="T76" s="15"/>
      <c r="U76" s="15"/>
      <c r="V76" s="15"/>
      <c r="W76" s="15"/>
      <c r="X76" s="15"/>
      <c r="Y76" s="15"/>
      <c r="Z76" s="15"/>
      <c r="AA76" s="15"/>
      <c r="AB76" s="44"/>
    </row>
    <row r="77" spans="1:28" ht="22" customHeight="1">
      <c r="A77" s="87"/>
      <c r="B77" s="213"/>
      <c r="C77" s="213"/>
      <c r="D77" s="67"/>
      <c r="E77" s="205" t="s">
        <v>257</v>
      </c>
      <c r="F77" s="210" t="s">
        <v>266</v>
      </c>
      <c r="G77" s="125" t="s">
        <v>258</v>
      </c>
      <c r="H77" s="46" t="s">
        <v>25</v>
      </c>
      <c r="I77" s="147" t="s">
        <v>15</v>
      </c>
      <c r="J77" s="118" t="s">
        <v>30</v>
      </c>
      <c r="K77" s="130" t="s">
        <v>39</v>
      </c>
      <c r="L77" s="117"/>
      <c r="M77" s="116"/>
      <c r="N77" s="119"/>
      <c r="O77" s="42" t="s">
        <v>18</v>
      </c>
      <c r="P77" s="53"/>
      <c r="Q77" s="53"/>
      <c r="R77" s="16"/>
      <c r="S77" s="16"/>
      <c r="T77" s="16"/>
      <c r="U77" s="16"/>
      <c r="V77" s="16"/>
      <c r="W77" s="16"/>
      <c r="X77" s="16"/>
      <c r="Y77" s="16"/>
      <c r="Z77" s="16"/>
      <c r="AA77" s="16"/>
      <c r="AB77" s="45"/>
    </row>
    <row r="78" spans="1:28" ht="22" customHeight="1">
      <c r="A78" s="87"/>
      <c r="B78" s="213"/>
      <c r="C78" s="213"/>
      <c r="D78" s="69"/>
      <c r="E78" s="206"/>
      <c r="F78" s="211"/>
      <c r="G78" s="126"/>
      <c r="H78" s="43" t="s">
        <v>19</v>
      </c>
      <c r="I78" s="147"/>
      <c r="J78" s="118"/>
      <c r="K78" s="130"/>
      <c r="L78" s="117"/>
      <c r="M78" s="116"/>
      <c r="N78" s="119"/>
      <c r="O78" s="42" t="s">
        <v>20</v>
      </c>
      <c r="P78" s="15"/>
      <c r="Q78" s="15"/>
      <c r="R78" s="15"/>
      <c r="S78" s="15"/>
      <c r="T78" s="15"/>
      <c r="U78" s="15"/>
      <c r="V78" s="15"/>
      <c r="W78" s="15"/>
      <c r="X78" s="15"/>
      <c r="Y78" s="15"/>
      <c r="Z78" s="15"/>
      <c r="AA78" s="15"/>
      <c r="AB78" s="44"/>
    </row>
    <row r="79" spans="1:28" ht="22" customHeight="1">
      <c r="A79" s="87"/>
      <c r="B79" s="213"/>
      <c r="C79" s="213"/>
      <c r="D79" s="68"/>
      <c r="E79" s="125" t="s">
        <v>259</v>
      </c>
      <c r="F79" s="210" t="s">
        <v>267</v>
      </c>
      <c r="G79" s="125" t="s">
        <v>260</v>
      </c>
      <c r="H79" s="46" t="s">
        <v>23</v>
      </c>
      <c r="I79" s="147" t="s">
        <v>15</v>
      </c>
      <c r="J79" s="118" t="s">
        <v>30</v>
      </c>
      <c r="K79" s="130" t="s">
        <v>39</v>
      </c>
      <c r="L79" s="117"/>
      <c r="M79" s="116"/>
      <c r="N79" s="119"/>
      <c r="O79" s="42" t="s">
        <v>18</v>
      </c>
      <c r="P79" s="15"/>
      <c r="Q79" s="15"/>
      <c r="R79" s="15"/>
      <c r="S79" s="15"/>
      <c r="T79" s="15"/>
      <c r="U79" s="15"/>
      <c r="V79" s="15"/>
      <c r="W79" s="15"/>
      <c r="X79" s="15"/>
      <c r="Y79" s="15"/>
      <c r="Z79" s="15"/>
      <c r="AA79" s="15"/>
      <c r="AB79" s="44"/>
    </row>
    <row r="80" spans="1:28" ht="22" customHeight="1">
      <c r="A80" s="87"/>
      <c r="B80" s="213"/>
      <c r="C80" s="213"/>
      <c r="D80" s="68"/>
      <c r="E80" s="126"/>
      <c r="F80" s="211"/>
      <c r="G80" s="126"/>
      <c r="H80" s="43" t="s">
        <v>19</v>
      </c>
      <c r="I80" s="147"/>
      <c r="J80" s="118"/>
      <c r="K80" s="130"/>
      <c r="L80" s="117"/>
      <c r="M80" s="116"/>
      <c r="N80" s="119"/>
      <c r="O80" s="42" t="s">
        <v>20</v>
      </c>
      <c r="P80" s="15"/>
      <c r="Q80" s="15"/>
      <c r="R80" s="15"/>
      <c r="S80" s="15"/>
      <c r="T80" s="15"/>
      <c r="U80" s="15"/>
      <c r="V80" s="15"/>
      <c r="W80" s="15"/>
      <c r="X80" s="15"/>
      <c r="Y80" s="15"/>
      <c r="Z80" s="15"/>
      <c r="AA80" s="15"/>
      <c r="AB80" s="44"/>
    </row>
    <row r="81" spans="1:28" ht="22" customHeight="1">
      <c r="A81" s="87"/>
      <c r="B81" s="213"/>
      <c r="C81" s="213"/>
      <c r="D81" s="67"/>
      <c r="E81" s="139" t="s">
        <v>261</v>
      </c>
      <c r="F81" s="210" t="s">
        <v>268</v>
      </c>
      <c r="G81" s="232" t="s">
        <v>262</v>
      </c>
      <c r="H81" s="46" t="s">
        <v>23</v>
      </c>
      <c r="I81" s="147" t="s">
        <v>15</v>
      </c>
      <c r="J81" s="118" t="s">
        <v>30</v>
      </c>
      <c r="K81" s="130" t="s">
        <v>39</v>
      </c>
      <c r="L81" s="117"/>
      <c r="M81" s="116"/>
      <c r="N81" s="119"/>
      <c r="O81" s="42" t="s">
        <v>18</v>
      </c>
      <c r="P81" s="53"/>
      <c r="Q81" s="53"/>
      <c r="R81" s="16"/>
      <c r="S81" s="16"/>
      <c r="T81" s="16"/>
      <c r="U81" s="16"/>
      <c r="V81" s="16"/>
      <c r="W81" s="16"/>
      <c r="X81" s="16"/>
      <c r="Y81" s="16"/>
      <c r="Z81" s="16"/>
      <c r="AA81" s="16"/>
      <c r="AB81" s="45"/>
    </row>
    <row r="82" spans="1:28" ht="22" customHeight="1">
      <c r="A82" s="87"/>
      <c r="B82" s="213"/>
      <c r="C82" s="213"/>
      <c r="D82" s="69"/>
      <c r="E82" s="140"/>
      <c r="F82" s="211"/>
      <c r="G82" s="233"/>
      <c r="H82" s="43" t="s">
        <v>35</v>
      </c>
      <c r="I82" s="147"/>
      <c r="J82" s="118"/>
      <c r="K82" s="130"/>
      <c r="L82" s="117"/>
      <c r="M82" s="116"/>
      <c r="N82" s="119"/>
      <c r="O82" s="42" t="s">
        <v>20</v>
      </c>
      <c r="P82" s="15"/>
      <c r="Q82" s="15"/>
      <c r="R82" s="15"/>
      <c r="S82" s="15"/>
      <c r="T82" s="15"/>
      <c r="U82" s="15"/>
      <c r="V82" s="15"/>
      <c r="W82" s="15"/>
      <c r="X82" s="15"/>
      <c r="Y82" s="15"/>
      <c r="Z82" s="15"/>
      <c r="AA82" s="15"/>
      <c r="AB82" s="44"/>
    </row>
    <row r="83" spans="1:28" ht="22" customHeight="1">
      <c r="A83" s="87"/>
      <c r="B83" s="214" t="s">
        <v>192</v>
      </c>
      <c r="C83" s="214"/>
      <c r="D83" s="67"/>
      <c r="E83" s="125" t="s">
        <v>293</v>
      </c>
      <c r="F83" s="210" t="s">
        <v>328</v>
      </c>
      <c r="G83" s="125" t="s">
        <v>294</v>
      </c>
      <c r="H83" s="41" t="s">
        <v>48</v>
      </c>
      <c r="I83" s="147" t="s">
        <v>15</v>
      </c>
      <c r="J83" s="118" t="s">
        <v>30</v>
      </c>
      <c r="K83" s="130" t="s">
        <v>28</v>
      </c>
      <c r="L83" s="115"/>
      <c r="M83" s="116"/>
      <c r="N83" s="119"/>
      <c r="O83" s="42" t="s">
        <v>18</v>
      </c>
      <c r="P83" s="53"/>
      <c r="Q83" s="53"/>
      <c r="R83" s="16"/>
      <c r="S83" s="16"/>
      <c r="T83" s="16"/>
      <c r="U83" s="16"/>
      <c r="V83" s="16"/>
      <c r="W83" s="16"/>
      <c r="X83" s="16"/>
      <c r="Y83" s="16"/>
      <c r="Z83" s="16"/>
      <c r="AA83" s="16"/>
      <c r="AB83" s="45"/>
    </row>
    <row r="84" spans="1:28" ht="22" customHeight="1">
      <c r="A84" s="87"/>
      <c r="B84" s="214"/>
      <c r="C84" s="214"/>
      <c r="D84" s="69"/>
      <c r="E84" s="126"/>
      <c r="F84" s="211"/>
      <c r="G84" s="126"/>
      <c r="H84" s="43" t="s">
        <v>38</v>
      </c>
      <c r="I84" s="147"/>
      <c r="J84" s="118"/>
      <c r="K84" s="130"/>
      <c r="L84" s="115"/>
      <c r="M84" s="116"/>
      <c r="N84" s="119"/>
      <c r="O84" s="42" t="s">
        <v>20</v>
      </c>
      <c r="P84" s="15"/>
      <c r="Q84" s="15"/>
      <c r="R84" s="15"/>
      <c r="S84" s="15"/>
      <c r="T84" s="15"/>
      <c r="U84" s="15"/>
      <c r="V84" s="15"/>
      <c r="W84" s="15"/>
      <c r="X84" s="15"/>
      <c r="Y84" s="15"/>
      <c r="Z84" s="15"/>
      <c r="AA84" s="15"/>
      <c r="AB84" s="44"/>
    </row>
    <row r="85" spans="1:28" ht="22" customHeight="1">
      <c r="A85" s="87"/>
      <c r="B85" s="214"/>
      <c r="C85" s="214"/>
      <c r="D85" s="67"/>
      <c r="E85" s="205" t="s">
        <v>77</v>
      </c>
      <c r="F85" s="210" t="s">
        <v>311</v>
      </c>
      <c r="G85" s="125" t="s">
        <v>255</v>
      </c>
      <c r="H85" s="41" t="s">
        <v>48</v>
      </c>
      <c r="I85" s="147" t="s">
        <v>15</v>
      </c>
      <c r="J85" s="118" t="s">
        <v>30</v>
      </c>
      <c r="K85" s="130" t="s">
        <v>28</v>
      </c>
      <c r="L85" s="115"/>
      <c r="M85" s="116"/>
      <c r="N85" s="119"/>
      <c r="O85" s="42" t="s">
        <v>18</v>
      </c>
      <c r="P85" s="53"/>
      <c r="Q85" s="53"/>
      <c r="R85" s="16"/>
      <c r="S85" s="16"/>
      <c r="T85" s="16"/>
      <c r="U85" s="16"/>
      <c r="V85" s="16"/>
      <c r="W85" s="16"/>
      <c r="X85" s="16"/>
      <c r="Y85" s="16"/>
      <c r="Z85" s="16"/>
      <c r="AA85" s="16"/>
      <c r="AB85" s="45"/>
    </row>
    <row r="86" spans="1:28" ht="22" customHeight="1">
      <c r="A86" s="87"/>
      <c r="B86" s="214"/>
      <c r="C86" s="214"/>
      <c r="D86" s="69"/>
      <c r="E86" s="206"/>
      <c r="F86" s="211"/>
      <c r="G86" s="126"/>
      <c r="H86" s="43" t="s">
        <v>19</v>
      </c>
      <c r="I86" s="147"/>
      <c r="J86" s="118"/>
      <c r="K86" s="130"/>
      <c r="L86" s="115"/>
      <c r="M86" s="116"/>
      <c r="N86" s="119"/>
      <c r="O86" s="42" t="s">
        <v>20</v>
      </c>
      <c r="P86" s="15"/>
      <c r="Q86" s="15"/>
      <c r="R86" s="15"/>
      <c r="S86" s="15"/>
      <c r="T86" s="15"/>
      <c r="U86" s="15"/>
      <c r="V86" s="15"/>
      <c r="W86" s="15"/>
      <c r="X86" s="15"/>
      <c r="Y86" s="15"/>
      <c r="Z86" s="15"/>
      <c r="AA86" s="15"/>
      <c r="AB86" s="44"/>
    </row>
    <row r="87" spans="1:28" ht="22" customHeight="1">
      <c r="A87" s="87"/>
      <c r="B87" s="214"/>
      <c r="C87" s="214"/>
      <c r="D87" s="68"/>
      <c r="E87" s="125" t="s">
        <v>240</v>
      </c>
      <c r="F87" s="210" t="s">
        <v>323</v>
      </c>
      <c r="G87" s="125" t="s">
        <v>320</v>
      </c>
      <c r="H87" s="41" t="s">
        <v>48</v>
      </c>
      <c r="I87" s="147" t="s">
        <v>15</v>
      </c>
      <c r="J87" s="118" t="s">
        <v>30</v>
      </c>
      <c r="K87" s="130" t="s">
        <v>28</v>
      </c>
      <c r="L87" s="115"/>
      <c r="M87" s="116"/>
      <c r="N87" s="119"/>
      <c r="O87" s="42" t="s">
        <v>18</v>
      </c>
      <c r="P87" s="15"/>
      <c r="Q87" s="15"/>
      <c r="R87" s="15"/>
      <c r="S87" s="15"/>
      <c r="T87" s="15"/>
      <c r="U87" s="15"/>
      <c r="V87" s="15"/>
      <c r="W87" s="15"/>
      <c r="X87" s="15"/>
      <c r="Y87" s="15"/>
      <c r="Z87" s="15"/>
      <c r="AA87" s="15"/>
      <c r="AB87" s="44"/>
    </row>
    <row r="88" spans="1:28" ht="22" customHeight="1">
      <c r="A88" s="87"/>
      <c r="B88" s="214"/>
      <c r="C88" s="214"/>
      <c r="D88" s="68"/>
      <c r="E88" s="126"/>
      <c r="F88" s="211"/>
      <c r="G88" s="126"/>
      <c r="H88" s="43" t="s">
        <v>38</v>
      </c>
      <c r="I88" s="147"/>
      <c r="J88" s="118"/>
      <c r="K88" s="130"/>
      <c r="L88" s="115"/>
      <c r="M88" s="116"/>
      <c r="N88" s="119"/>
      <c r="O88" s="42" t="s">
        <v>20</v>
      </c>
      <c r="P88" s="15"/>
      <c r="Q88" s="15"/>
      <c r="R88" s="15"/>
      <c r="S88" s="15"/>
      <c r="T88" s="15"/>
      <c r="U88" s="15"/>
      <c r="V88" s="15"/>
      <c r="W88" s="15"/>
      <c r="X88" s="15"/>
      <c r="Y88" s="15"/>
      <c r="Z88" s="15"/>
      <c r="AA88" s="15"/>
      <c r="AB88" s="44"/>
    </row>
    <row r="89" spans="1:28" ht="22" customHeight="1">
      <c r="A89" s="87"/>
      <c r="B89" s="214"/>
      <c r="C89" s="214"/>
      <c r="D89" s="67"/>
      <c r="E89" s="139" t="s">
        <v>241</v>
      </c>
      <c r="F89" s="210"/>
      <c r="G89" s="125" t="s">
        <v>360</v>
      </c>
      <c r="H89" s="46"/>
      <c r="I89" s="118"/>
      <c r="J89" s="118"/>
      <c r="K89" s="130" t="s">
        <v>28</v>
      </c>
      <c r="L89" s="117"/>
      <c r="M89" s="116"/>
      <c r="N89" s="119"/>
      <c r="O89" s="42" t="s">
        <v>18</v>
      </c>
      <c r="P89" s="53"/>
      <c r="Q89" s="53"/>
      <c r="R89" s="16"/>
      <c r="S89" s="16"/>
      <c r="T89" s="16"/>
      <c r="U89" s="16"/>
      <c r="V89" s="16"/>
      <c r="W89" s="16"/>
      <c r="X89" s="16"/>
      <c r="Y89" s="16"/>
      <c r="Z89" s="16"/>
      <c r="AA89" s="16"/>
      <c r="AB89" s="45"/>
    </row>
    <row r="90" spans="1:28" ht="22" customHeight="1">
      <c r="A90" s="87"/>
      <c r="B90" s="214"/>
      <c r="C90" s="214"/>
      <c r="D90" s="69"/>
      <c r="E90" s="140"/>
      <c r="F90" s="211"/>
      <c r="G90" s="126"/>
      <c r="H90" s="43"/>
      <c r="I90" s="118"/>
      <c r="J90" s="118"/>
      <c r="K90" s="130"/>
      <c r="L90" s="117"/>
      <c r="M90" s="116"/>
      <c r="N90" s="119"/>
      <c r="O90" s="42" t="s">
        <v>20</v>
      </c>
      <c r="P90" s="15"/>
      <c r="Q90" s="15"/>
      <c r="R90" s="15"/>
      <c r="S90" s="15"/>
      <c r="T90" s="15"/>
      <c r="U90" s="15"/>
      <c r="V90" s="15"/>
      <c r="W90" s="15"/>
      <c r="X90" s="15"/>
      <c r="Y90" s="15"/>
      <c r="Z90" s="15"/>
      <c r="AA90" s="15"/>
      <c r="AB90" s="44"/>
    </row>
    <row r="91" spans="1:28" ht="22" customHeight="1">
      <c r="A91" s="87"/>
      <c r="B91" s="214"/>
      <c r="C91" s="214"/>
      <c r="D91" s="67"/>
      <c r="E91" s="201" t="s">
        <v>242</v>
      </c>
      <c r="F91" s="210" t="s">
        <v>327</v>
      </c>
      <c r="G91" s="125" t="s">
        <v>318</v>
      </c>
      <c r="H91" s="46" t="s">
        <v>14</v>
      </c>
      <c r="I91" s="147" t="s">
        <v>319</v>
      </c>
      <c r="J91" s="118" t="s">
        <v>30</v>
      </c>
      <c r="K91" s="130" t="s">
        <v>28</v>
      </c>
      <c r="L91" s="203"/>
      <c r="M91" s="116"/>
      <c r="N91" s="119"/>
      <c r="O91" s="42" t="s">
        <v>18</v>
      </c>
      <c r="P91" s="53"/>
      <c r="Q91" s="53"/>
      <c r="R91" s="16"/>
      <c r="S91" s="16"/>
      <c r="T91" s="16"/>
      <c r="U91" s="16"/>
      <c r="V91" s="16"/>
      <c r="W91" s="16"/>
      <c r="X91" s="16"/>
      <c r="Y91" s="16"/>
      <c r="Z91" s="16"/>
      <c r="AA91" s="16"/>
      <c r="AB91" s="45"/>
    </row>
    <row r="92" spans="1:28" ht="22" customHeight="1">
      <c r="A92" s="87"/>
      <c r="B92" s="214"/>
      <c r="C92" s="214"/>
      <c r="D92" s="69"/>
      <c r="E92" s="202"/>
      <c r="F92" s="211"/>
      <c r="G92" s="126"/>
      <c r="H92" s="47" t="s">
        <v>38</v>
      </c>
      <c r="I92" s="147"/>
      <c r="J92" s="118"/>
      <c r="K92" s="130"/>
      <c r="L92" s="203"/>
      <c r="M92" s="116"/>
      <c r="N92" s="119"/>
      <c r="O92" s="42" t="s">
        <v>20</v>
      </c>
      <c r="P92" s="15"/>
      <c r="Q92" s="15"/>
      <c r="R92" s="15"/>
      <c r="S92" s="15"/>
      <c r="T92" s="15"/>
      <c r="U92" s="15"/>
      <c r="V92" s="15"/>
      <c r="W92" s="15"/>
      <c r="X92" s="15"/>
      <c r="Y92" s="15"/>
      <c r="Z92" s="15"/>
      <c r="AA92" s="15"/>
      <c r="AB92" s="44"/>
    </row>
    <row r="93" spans="1:28" ht="22" customHeight="1">
      <c r="A93" s="87"/>
      <c r="B93" s="212" t="s">
        <v>193</v>
      </c>
      <c r="C93" s="212"/>
      <c r="D93" s="67"/>
      <c r="E93" s="125" t="s">
        <v>172</v>
      </c>
      <c r="F93" s="210" t="s">
        <v>322</v>
      </c>
      <c r="G93" s="125" t="s">
        <v>321</v>
      </c>
      <c r="H93" s="41" t="s">
        <v>29</v>
      </c>
      <c r="I93" s="118" t="s">
        <v>15</v>
      </c>
      <c r="J93" s="118" t="s">
        <v>30</v>
      </c>
      <c r="K93" s="130" t="s">
        <v>28</v>
      </c>
      <c r="L93" s="191"/>
      <c r="M93" s="116"/>
      <c r="N93" s="119"/>
      <c r="O93" s="42" t="s">
        <v>18</v>
      </c>
      <c r="P93" s="53"/>
      <c r="Q93" s="53"/>
      <c r="R93" s="16"/>
      <c r="S93" s="16"/>
      <c r="T93" s="16"/>
      <c r="U93" s="16"/>
      <c r="V93" s="16"/>
      <c r="W93" s="16"/>
      <c r="X93" s="16"/>
      <c r="Y93" s="16"/>
      <c r="Z93" s="16"/>
      <c r="AA93" s="16"/>
      <c r="AB93" s="45"/>
    </row>
    <row r="94" spans="1:28" ht="22" customHeight="1">
      <c r="A94" s="87"/>
      <c r="B94" s="212"/>
      <c r="C94" s="212"/>
      <c r="D94" s="69"/>
      <c r="E94" s="126"/>
      <c r="F94" s="211"/>
      <c r="G94" s="126"/>
      <c r="H94" s="43" t="s">
        <v>38</v>
      </c>
      <c r="I94" s="118"/>
      <c r="J94" s="118"/>
      <c r="K94" s="130"/>
      <c r="L94" s="191"/>
      <c r="M94" s="116"/>
      <c r="N94" s="119"/>
      <c r="O94" s="42" t="s">
        <v>20</v>
      </c>
      <c r="P94" s="15"/>
      <c r="Q94" s="15"/>
      <c r="R94" s="15"/>
      <c r="S94" s="15"/>
      <c r="T94" s="15"/>
      <c r="U94" s="15"/>
      <c r="V94" s="15"/>
      <c r="W94" s="15"/>
      <c r="X94" s="15"/>
      <c r="Y94" s="15"/>
      <c r="Z94" s="15"/>
      <c r="AA94" s="15"/>
      <c r="AB94" s="44"/>
    </row>
    <row r="95" spans="1:28" ht="22" customHeight="1">
      <c r="A95" s="87"/>
      <c r="B95" s="212"/>
      <c r="C95" s="212"/>
      <c r="D95" s="67"/>
      <c r="E95" s="125" t="s">
        <v>95</v>
      </c>
      <c r="F95" s="210" t="s">
        <v>326</v>
      </c>
      <c r="G95" s="125" t="s">
        <v>317</v>
      </c>
      <c r="H95" s="41" t="s">
        <v>29</v>
      </c>
      <c r="I95" s="118" t="s">
        <v>15</v>
      </c>
      <c r="J95" s="118" t="s">
        <v>30</v>
      </c>
      <c r="K95" s="130" t="s">
        <v>28</v>
      </c>
      <c r="L95" s="191"/>
      <c r="M95" s="116"/>
      <c r="N95" s="119"/>
      <c r="O95" s="42" t="s">
        <v>18</v>
      </c>
      <c r="P95" s="53"/>
      <c r="Q95" s="53"/>
      <c r="R95" s="16"/>
      <c r="S95" s="16"/>
      <c r="T95" s="16"/>
      <c r="U95" s="16"/>
      <c r="V95" s="16"/>
      <c r="W95" s="16"/>
      <c r="X95" s="16"/>
      <c r="Y95" s="16"/>
      <c r="Z95" s="16"/>
      <c r="AA95" s="16"/>
      <c r="AB95" s="45"/>
    </row>
    <row r="96" spans="1:28" ht="22" customHeight="1">
      <c r="A96" s="87"/>
      <c r="B96" s="212"/>
      <c r="C96" s="212"/>
      <c r="D96" s="69"/>
      <c r="E96" s="126"/>
      <c r="F96" s="211"/>
      <c r="G96" s="126"/>
      <c r="H96" s="43" t="s">
        <v>19</v>
      </c>
      <c r="I96" s="118"/>
      <c r="J96" s="118"/>
      <c r="K96" s="130"/>
      <c r="L96" s="191"/>
      <c r="M96" s="116"/>
      <c r="N96" s="119"/>
      <c r="O96" s="42" t="s">
        <v>20</v>
      </c>
      <c r="P96" s="15"/>
      <c r="Q96" s="15"/>
      <c r="R96" s="15"/>
      <c r="S96" s="15"/>
      <c r="T96" s="15"/>
      <c r="U96" s="15"/>
      <c r="V96" s="15"/>
      <c r="W96" s="15"/>
      <c r="X96" s="15"/>
      <c r="Y96" s="15"/>
      <c r="Z96" s="15"/>
      <c r="AA96" s="15"/>
      <c r="AB96" s="44"/>
    </row>
    <row r="97" spans="1:28" ht="22" customHeight="1">
      <c r="A97" s="87"/>
      <c r="B97" s="212"/>
      <c r="C97" s="212"/>
      <c r="D97" s="67"/>
      <c r="E97" s="125" t="s">
        <v>173</v>
      </c>
      <c r="F97" s="210" t="s">
        <v>325</v>
      </c>
      <c r="G97" s="125" t="s">
        <v>307</v>
      </c>
      <c r="H97" s="41" t="s">
        <v>48</v>
      </c>
      <c r="I97" s="118" t="s">
        <v>15</v>
      </c>
      <c r="J97" s="118" t="s">
        <v>30</v>
      </c>
      <c r="K97" s="130" t="s">
        <v>28</v>
      </c>
      <c r="L97" s="191"/>
      <c r="M97" s="116"/>
      <c r="N97" s="119"/>
      <c r="O97" s="42" t="s">
        <v>18</v>
      </c>
      <c r="P97" s="53"/>
      <c r="Q97" s="53"/>
      <c r="R97" s="16"/>
      <c r="S97" s="16"/>
      <c r="T97" s="16"/>
      <c r="U97" s="16"/>
      <c r="V97" s="16"/>
      <c r="W97" s="16"/>
      <c r="X97" s="16"/>
      <c r="Y97" s="16"/>
      <c r="Z97" s="16"/>
      <c r="AA97" s="16"/>
      <c r="AB97" s="45"/>
    </row>
    <row r="98" spans="1:28" ht="22" customHeight="1">
      <c r="A98" s="87"/>
      <c r="B98" s="212"/>
      <c r="C98" s="212"/>
      <c r="D98" s="69"/>
      <c r="E98" s="126"/>
      <c r="F98" s="211"/>
      <c r="G98" s="126"/>
      <c r="H98" s="43" t="s">
        <v>35</v>
      </c>
      <c r="I98" s="118"/>
      <c r="J98" s="118"/>
      <c r="K98" s="130"/>
      <c r="L98" s="191"/>
      <c r="M98" s="116"/>
      <c r="N98" s="119"/>
      <c r="O98" s="42" t="s">
        <v>20</v>
      </c>
      <c r="P98" s="15"/>
      <c r="Q98" s="15"/>
      <c r="R98" s="15"/>
      <c r="S98" s="15"/>
      <c r="T98" s="15"/>
      <c r="U98" s="15"/>
      <c r="V98" s="15"/>
      <c r="W98" s="15"/>
      <c r="X98" s="15"/>
      <c r="Y98" s="15"/>
      <c r="Z98" s="15"/>
      <c r="AA98" s="15"/>
      <c r="AB98" s="44"/>
    </row>
    <row r="99" spans="1:28" ht="22" customHeight="1">
      <c r="A99" s="87"/>
      <c r="B99" s="212"/>
      <c r="C99" s="212"/>
      <c r="D99" s="67"/>
      <c r="E99" s="125" t="s">
        <v>243</v>
      </c>
      <c r="F99" s="210" t="s">
        <v>311</v>
      </c>
      <c r="G99" s="125" t="s">
        <v>308</v>
      </c>
      <c r="H99" s="41" t="s">
        <v>29</v>
      </c>
      <c r="I99" s="118" t="s">
        <v>15</v>
      </c>
      <c r="J99" s="118" t="s">
        <v>30</v>
      </c>
      <c r="K99" s="130" t="s">
        <v>28</v>
      </c>
      <c r="L99" s="191"/>
      <c r="M99" s="116"/>
      <c r="N99" s="119"/>
      <c r="O99" s="42" t="s">
        <v>18</v>
      </c>
      <c r="P99" s="53"/>
      <c r="Q99" s="53"/>
      <c r="R99" s="16"/>
      <c r="S99" s="16"/>
      <c r="T99" s="16"/>
      <c r="U99" s="16"/>
      <c r="V99" s="16"/>
      <c r="W99" s="16"/>
      <c r="X99" s="16"/>
      <c r="Y99" s="16"/>
      <c r="Z99" s="16"/>
      <c r="AA99" s="16"/>
      <c r="AB99" s="45"/>
    </row>
    <row r="100" spans="1:28" ht="22" customHeight="1">
      <c r="A100" s="87"/>
      <c r="B100" s="212"/>
      <c r="C100" s="212"/>
      <c r="D100" s="69"/>
      <c r="E100" s="126"/>
      <c r="F100" s="211"/>
      <c r="G100" s="126"/>
      <c r="H100" s="43" t="s">
        <v>19</v>
      </c>
      <c r="I100" s="118"/>
      <c r="J100" s="118"/>
      <c r="K100" s="130"/>
      <c r="L100" s="191"/>
      <c r="M100" s="116"/>
      <c r="N100" s="119"/>
      <c r="O100" s="42" t="s">
        <v>20</v>
      </c>
      <c r="P100" s="15"/>
      <c r="Q100" s="15"/>
      <c r="R100" s="15"/>
      <c r="S100" s="15"/>
      <c r="T100" s="15"/>
      <c r="U100" s="15"/>
      <c r="V100" s="15"/>
      <c r="W100" s="15"/>
      <c r="X100" s="15"/>
      <c r="Y100" s="15"/>
      <c r="Z100" s="15"/>
      <c r="AA100" s="15"/>
      <c r="AB100" s="44"/>
    </row>
    <row r="101" spans="1:28" ht="22" customHeight="1">
      <c r="A101" s="87"/>
      <c r="B101" s="212"/>
      <c r="C101" s="212"/>
      <c r="D101" s="67"/>
      <c r="E101" s="125" t="s">
        <v>309</v>
      </c>
      <c r="F101" s="210" t="s">
        <v>311</v>
      </c>
      <c r="G101" s="125" t="s">
        <v>310</v>
      </c>
      <c r="H101" s="41" t="s">
        <v>23</v>
      </c>
      <c r="I101" s="118" t="s">
        <v>15</v>
      </c>
      <c r="J101" s="118" t="s">
        <v>30</v>
      </c>
      <c r="K101" s="130" t="s">
        <v>28</v>
      </c>
      <c r="L101" s="191"/>
      <c r="M101" s="116"/>
      <c r="N101" s="119"/>
      <c r="O101" s="42" t="s">
        <v>18</v>
      </c>
      <c r="P101" s="53"/>
      <c r="Q101" s="53"/>
      <c r="R101" s="16"/>
      <c r="S101" s="16"/>
      <c r="T101" s="16"/>
      <c r="U101" s="16"/>
      <c r="V101" s="16"/>
      <c r="W101" s="16"/>
      <c r="X101" s="16"/>
      <c r="Y101" s="16"/>
      <c r="Z101" s="16"/>
      <c r="AA101" s="16"/>
      <c r="AB101" s="45"/>
    </row>
    <row r="102" spans="1:28" ht="22" customHeight="1">
      <c r="A102" s="87"/>
      <c r="B102" s="212"/>
      <c r="C102" s="212"/>
      <c r="D102" s="69"/>
      <c r="E102" s="126"/>
      <c r="F102" s="211"/>
      <c r="G102" s="126"/>
      <c r="H102" s="43" t="s">
        <v>19</v>
      </c>
      <c r="I102" s="118"/>
      <c r="J102" s="118"/>
      <c r="K102" s="130"/>
      <c r="L102" s="191"/>
      <c r="M102" s="116"/>
      <c r="N102" s="119"/>
      <c r="O102" s="42" t="s">
        <v>20</v>
      </c>
      <c r="P102" s="15"/>
      <c r="Q102" s="15"/>
      <c r="R102" s="15"/>
      <c r="S102" s="15"/>
      <c r="T102" s="15"/>
      <c r="U102" s="15"/>
      <c r="V102" s="15"/>
      <c r="W102" s="15"/>
      <c r="X102" s="15"/>
      <c r="Y102" s="15"/>
      <c r="Z102" s="15"/>
      <c r="AA102" s="15"/>
      <c r="AB102" s="44"/>
    </row>
    <row r="103" spans="1:28" ht="22" customHeight="1">
      <c r="A103" s="87"/>
      <c r="B103" s="212"/>
      <c r="C103" s="212"/>
      <c r="D103" s="67"/>
      <c r="E103" s="125" t="s">
        <v>245</v>
      </c>
      <c r="F103" s="210" t="s">
        <v>324</v>
      </c>
      <c r="G103" s="125" t="s">
        <v>312</v>
      </c>
      <c r="H103" s="41" t="s">
        <v>14</v>
      </c>
      <c r="I103" s="118" t="s">
        <v>15</v>
      </c>
      <c r="J103" s="118" t="s">
        <v>30</v>
      </c>
      <c r="K103" s="130" t="s">
        <v>28</v>
      </c>
      <c r="L103" s="191"/>
      <c r="M103" s="116"/>
      <c r="N103" s="119"/>
      <c r="O103" s="42" t="s">
        <v>18</v>
      </c>
      <c r="P103" s="53"/>
      <c r="Q103" s="53"/>
      <c r="R103" s="16"/>
      <c r="S103" s="16"/>
      <c r="T103" s="16"/>
      <c r="U103" s="16"/>
      <c r="V103" s="16"/>
      <c r="W103" s="16"/>
      <c r="X103" s="16"/>
      <c r="Y103" s="16"/>
      <c r="Z103" s="16"/>
      <c r="AA103" s="16"/>
      <c r="AB103" s="45"/>
    </row>
    <row r="104" spans="1:28" ht="22" customHeight="1">
      <c r="A104" s="87"/>
      <c r="B104" s="212"/>
      <c r="C104" s="212"/>
      <c r="D104" s="69"/>
      <c r="E104" s="126"/>
      <c r="F104" s="211"/>
      <c r="G104" s="126"/>
      <c r="H104" s="43" t="s">
        <v>38</v>
      </c>
      <c r="I104" s="118"/>
      <c r="J104" s="118"/>
      <c r="K104" s="130"/>
      <c r="L104" s="191"/>
      <c r="M104" s="116"/>
      <c r="N104" s="119"/>
      <c r="O104" s="42" t="s">
        <v>20</v>
      </c>
      <c r="P104" s="15"/>
      <c r="Q104" s="15"/>
      <c r="R104" s="15"/>
      <c r="S104" s="15"/>
      <c r="T104" s="15"/>
      <c r="U104" s="15"/>
      <c r="V104" s="15"/>
      <c r="W104" s="15"/>
      <c r="X104" s="15"/>
      <c r="Y104" s="15"/>
      <c r="Z104" s="15"/>
      <c r="AA104" s="15"/>
      <c r="AB104" s="44"/>
    </row>
    <row r="105" spans="1:28" ht="22" customHeight="1">
      <c r="A105" s="87"/>
      <c r="B105" s="212"/>
      <c r="C105" s="212"/>
      <c r="D105" s="67"/>
      <c r="E105" s="125" t="s">
        <v>246</v>
      </c>
      <c r="F105" s="210" t="s">
        <v>314</v>
      </c>
      <c r="G105" s="125" t="s">
        <v>313</v>
      </c>
      <c r="H105" s="41" t="s">
        <v>14</v>
      </c>
      <c r="I105" s="118" t="s">
        <v>15</v>
      </c>
      <c r="J105" s="118" t="s">
        <v>30</v>
      </c>
      <c r="K105" s="130" t="s">
        <v>28</v>
      </c>
      <c r="L105" s="191"/>
      <c r="M105" s="116"/>
      <c r="N105" s="119"/>
      <c r="O105" s="42" t="s">
        <v>18</v>
      </c>
      <c r="P105" s="53"/>
      <c r="Q105" s="53"/>
      <c r="R105" s="16"/>
      <c r="S105" s="16"/>
      <c r="T105" s="16"/>
      <c r="U105" s="16"/>
      <c r="V105" s="16"/>
      <c r="W105" s="16"/>
      <c r="X105" s="16"/>
      <c r="Y105" s="16"/>
      <c r="Z105" s="16"/>
      <c r="AA105" s="16"/>
      <c r="AB105" s="45"/>
    </row>
    <row r="106" spans="1:28" ht="22" customHeight="1">
      <c r="A106" s="87"/>
      <c r="B106" s="212"/>
      <c r="C106" s="212"/>
      <c r="D106" s="69"/>
      <c r="E106" s="126"/>
      <c r="F106" s="211"/>
      <c r="G106" s="126"/>
      <c r="H106" s="43" t="s">
        <v>35</v>
      </c>
      <c r="I106" s="118"/>
      <c r="J106" s="118"/>
      <c r="K106" s="130"/>
      <c r="L106" s="191"/>
      <c r="M106" s="116"/>
      <c r="N106" s="119"/>
      <c r="O106" s="42" t="s">
        <v>20</v>
      </c>
      <c r="P106" s="15"/>
      <c r="Q106" s="15"/>
      <c r="R106" s="15"/>
      <c r="S106" s="15"/>
      <c r="T106" s="15"/>
      <c r="U106" s="15"/>
      <c r="V106" s="15"/>
      <c r="W106" s="15"/>
      <c r="X106" s="15"/>
      <c r="Y106" s="15"/>
      <c r="Z106" s="15"/>
      <c r="AA106" s="15"/>
      <c r="AB106" s="44"/>
    </row>
    <row r="107" spans="1:28" ht="22" customHeight="1">
      <c r="A107" s="87"/>
      <c r="B107" s="212"/>
      <c r="C107" s="212"/>
      <c r="D107" s="67"/>
      <c r="E107" s="125" t="s">
        <v>306</v>
      </c>
      <c r="F107" s="210" t="s">
        <v>316</v>
      </c>
      <c r="G107" s="125" t="s">
        <v>315</v>
      </c>
      <c r="H107" s="41" t="s">
        <v>48</v>
      </c>
      <c r="I107" s="118" t="s">
        <v>15</v>
      </c>
      <c r="J107" s="118" t="s">
        <v>30</v>
      </c>
      <c r="K107" s="130" t="s">
        <v>28</v>
      </c>
      <c r="L107" s="191"/>
      <c r="M107" s="116"/>
      <c r="N107" s="119"/>
      <c r="O107" s="42" t="s">
        <v>18</v>
      </c>
      <c r="P107" s="53"/>
      <c r="Q107" s="53"/>
      <c r="R107" s="16"/>
      <c r="S107" s="16"/>
      <c r="T107" s="16"/>
      <c r="U107" s="16"/>
      <c r="V107" s="16"/>
      <c r="W107" s="16"/>
      <c r="X107" s="16"/>
      <c r="Y107" s="16"/>
      <c r="Z107" s="16"/>
      <c r="AA107" s="16"/>
      <c r="AB107" s="45"/>
    </row>
    <row r="108" spans="1:28" ht="22" customHeight="1">
      <c r="A108" s="87"/>
      <c r="B108" s="212"/>
      <c r="C108" s="212"/>
      <c r="D108" s="69"/>
      <c r="E108" s="126"/>
      <c r="F108" s="211"/>
      <c r="G108" s="126"/>
      <c r="H108" s="43" t="s">
        <v>121</v>
      </c>
      <c r="I108" s="118"/>
      <c r="J108" s="118"/>
      <c r="K108" s="130"/>
      <c r="L108" s="191"/>
      <c r="M108" s="116"/>
      <c r="N108" s="119"/>
      <c r="O108" s="42" t="s">
        <v>20</v>
      </c>
      <c r="P108" s="15"/>
      <c r="Q108" s="15"/>
      <c r="R108" s="15"/>
      <c r="S108" s="15"/>
      <c r="T108" s="15"/>
      <c r="U108" s="15"/>
      <c r="V108" s="15"/>
      <c r="W108" s="15"/>
      <c r="X108" s="15"/>
      <c r="Y108" s="15"/>
      <c r="Z108" s="15"/>
      <c r="AA108" s="15"/>
      <c r="AB108" s="44"/>
    </row>
    <row r="109" spans="1:28" ht="22" customHeight="1">
      <c r="A109" s="87"/>
      <c r="B109" s="215" t="s">
        <v>194</v>
      </c>
      <c r="C109" s="215"/>
      <c r="D109" s="67"/>
      <c r="E109" s="125" t="s">
        <v>154</v>
      </c>
      <c r="F109" s="210" t="s">
        <v>334</v>
      </c>
      <c r="G109" s="125" t="s">
        <v>333</v>
      </c>
      <c r="H109" s="41" t="s">
        <v>14</v>
      </c>
      <c r="I109" s="118" t="s">
        <v>15</v>
      </c>
      <c r="J109" s="118" t="s">
        <v>30</v>
      </c>
      <c r="K109" s="130" t="s">
        <v>47</v>
      </c>
      <c r="L109" s="191"/>
      <c r="M109" s="116"/>
      <c r="N109" s="119"/>
      <c r="O109" s="42" t="s">
        <v>18</v>
      </c>
      <c r="P109" s="53"/>
      <c r="Q109" s="53"/>
      <c r="R109" s="16"/>
      <c r="S109" s="16"/>
      <c r="T109" s="16"/>
      <c r="U109" s="16"/>
      <c r="V109" s="16"/>
      <c r="W109" s="16"/>
      <c r="X109" s="16"/>
      <c r="Y109" s="16"/>
      <c r="Z109" s="16"/>
      <c r="AA109" s="16"/>
      <c r="AB109" s="45"/>
    </row>
    <row r="110" spans="1:28" ht="22" customHeight="1">
      <c r="A110" s="87"/>
      <c r="B110" s="215"/>
      <c r="C110" s="215"/>
      <c r="D110" s="69"/>
      <c r="E110" s="126"/>
      <c r="F110" s="211"/>
      <c r="G110" s="126"/>
      <c r="H110" s="43" t="s">
        <v>38</v>
      </c>
      <c r="I110" s="118"/>
      <c r="J110" s="118"/>
      <c r="K110" s="130"/>
      <c r="L110" s="191"/>
      <c r="M110" s="116"/>
      <c r="N110" s="119"/>
      <c r="O110" s="42" t="s">
        <v>20</v>
      </c>
      <c r="P110" s="15"/>
      <c r="Q110" s="15"/>
      <c r="R110" s="15"/>
      <c r="S110" s="15"/>
      <c r="T110" s="15"/>
      <c r="U110" s="15"/>
      <c r="V110" s="15"/>
      <c r="W110" s="15"/>
      <c r="X110" s="15"/>
      <c r="Y110" s="15"/>
      <c r="Z110" s="15"/>
      <c r="AA110" s="15"/>
      <c r="AB110" s="44"/>
    </row>
    <row r="111" spans="1:28" ht="22" customHeight="1">
      <c r="A111" s="87"/>
      <c r="B111" s="215"/>
      <c r="C111" s="215"/>
      <c r="D111" s="67"/>
      <c r="E111" s="125" t="s">
        <v>155</v>
      </c>
      <c r="F111" s="210" t="s">
        <v>364</v>
      </c>
      <c r="G111" s="125" t="s">
        <v>363</v>
      </c>
      <c r="H111" s="41" t="s">
        <v>23</v>
      </c>
      <c r="I111" s="118" t="s">
        <v>15</v>
      </c>
      <c r="J111" s="118" t="s">
        <v>30</v>
      </c>
      <c r="K111" s="130" t="s">
        <v>47</v>
      </c>
      <c r="L111" s="191"/>
      <c r="M111" s="116"/>
      <c r="N111" s="119"/>
      <c r="O111" s="42" t="s">
        <v>18</v>
      </c>
      <c r="P111" s="53"/>
      <c r="Q111" s="53"/>
      <c r="R111" s="16"/>
      <c r="S111" s="16"/>
      <c r="T111" s="16"/>
      <c r="U111" s="16"/>
      <c r="V111" s="16"/>
      <c r="W111" s="16"/>
      <c r="X111" s="16"/>
      <c r="Y111" s="16"/>
      <c r="Z111" s="16"/>
      <c r="AA111" s="16"/>
      <c r="AB111" s="45"/>
    </row>
    <row r="112" spans="1:28" ht="22" customHeight="1">
      <c r="A112" s="87"/>
      <c r="B112" s="215"/>
      <c r="C112" s="215"/>
      <c r="D112" s="69"/>
      <c r="E112" s="126"/>
      <c r="F112" s="211"/>
      <c r="G112" s="126"/>
      <c r="H112" s="43" t="s">
        <v>19</v>
      </c>
      <c r="I112" s="118"/>
      <c r="J112" s="118"/>
      <c r="K112" s="130"/>
      <c r="L112" s="191"/>
      <c r="M112" s="116"/>
      <c r="N112" s="119"/>
      <c r="O112" s="42" t="s">
        <v>20</v>
      </c>
      <c r="P112" s="15"/>
      <c r="Q112" s="15"/>
      <c r="R112" s="15"/>
      <c r="S112" s="15"/>
      <c r="T112" s="15"/>
      <c r="U112" s="15"/>
      <c r="V112" s="15"/>
      <c r="W112" s="15"/>
      <c r="X112" s="15"/>
      <c r="Y112" s="15"/>
      <c r="Z112" s="15"/>
      <c r="AA112" s="15"/>
      <c r="AB112" s="44"/>
    </row>
    <row r="113" spans="1:28" ht="22" customHeight="1">
      <c r="A113" s="87"/>
      <c r="B113" s="215"/>
      <c r="C113" s="215"/>
      <c r="D113" s="67"/>
      <c r="E113" s="125" t="s">
        <v>156</v>
      </c>
      <c r="F113" s="210" t="s">
        <v>366</v>
      </c>
      <c r="G113" s="125" t="s">
        <v>365</v>
      </c>
      <c r="H113" s="41" t="s">
        <v>23</v>
      </c>
      <c r="I113" s="118" t="s">
        <v>15</v>
      </c>
      <c r="J113" s="118" t="s">
        <v>30</v>
      </c>
      <c r="K113" s="130"/>
      <c r="L113" s="191"/>
      <c r="M113" s="116"/>
      <c r="N113" s="119"/>
      <c r="O113" s="42" t="s">
        <v>18</v>
      </c>
      <c r="P113" s="53"/>
      <c r="Q113" s="53"/>
      <c r="R113" s="16"/>
      <c r="S113" s="16"/>
      <c r="T113" s="16"/>
      <c r="U113" s="16"/>
      <c r="V113" s="16"/>
      <c r="W113" s="16"/>
      <c r="X113" s="16"/>
      <c r="Y113" s="16"/>
      <c r="Z113" s="16"/>
      <c r="AA113" s="16"/>
      <c r="AB113" s="45"/>
    </row>
    <row r="114" spans="1:28" ht="22" customHeight="1">
      <c r="A114" s="87"/>
      <c r="B114" s="215"/>
      <c r="C114" s="215"/>
      <c r="D114" s="69"/>
      <c r="E114" s="126"/>
      <c r="F114" s="211"/>
      <c r="G114" s="126"/>
      <c r="H114" s="43" t="s">
        <v>19</v>
      </c>
      <c r="I114" s="118"/>
      <c r="J114" s="118"/>
      <c r="K114" s="130"/>
      <c r="L114" s="191"/>
      <c r="M114" s="116"/>
      <c r="N114" s="119"/>
      <c r="O114" s="42" t="s">
        <v>20</v>
      </c>
      <c r="P114" s="15"/>
      <c r="Q114" s="15"/>
      <c r="R114" s="15"/>
      <c r="S114" s="15"/>
      <c r="T114" s="15"/>
      <c r="U114" s="15"/>
      <c r="V114" s="15"/>
      <c r="W114" s="15"/>
      <c r="X114" s="15"/>
      <c r="Y114" s="15"/>
      <c r="Z114" s="15"/>
      <c r="AA114" s="15"/>
      <c r="AB114" s="44"/>
    </row>
    <row r="115" spans="1:28" ht="22" customHeight="1">
      <c r="A115" s="87"/>
      <c r="B115" s="215"/>
      <c r="C115" s="215"/>
      <c r="D115" s="67"/>
      <c r="E115" s="125" t="s">
        <v>157</v>
      </c>
      <c r="F115" s="210" t="s">
        <v>369</v>
      </c>
      <c r="G115" s="125" t="s">
        <v>368</v>
      </c>
      <c r="H115" s="41" t="s">
        <v>23</v>
      </c>
      <c r="I115" s="118" t="s">
        <v>15</v>
      </c>
      <c r="J115" s="118" t="s">
        <v>30</v>
      </c>
      <c r="K115" s="130" t="s">
        <v>47</v>
      </c>
      <c r="L115" s="191"/>
      <c r="M115" s="116"/>
      <c r="N115" s="119"/>
      <c r="O115" s="42" t="s">
        <v>18</v>
      </c>
      <c r="P115" s="53"/>
      <c r="Q115" s="53"/>
      <c r="R115" s="16"/>
      <c r="S115" s="16"/>
      <c r="T115" s="16"/>
      <c r="U115" s="16"/>
      <c r="V115" s="16"/>
      <c r="W115" s="16"/>
      <c r="X115" s="16"/>
      <c r="Y115" s="16"/>
      <c r="Z115" s="16"/>
      <c r="AA115" s="16"/>
      <c r="AB115" s="45"/>
    </row>
    <row r="116" spans="1:28" ht="22" customHeight="1">
      <c r="A116" s="87"/>
      <c r="B116" s="215"/>
      <c r="C116" s="215"/>
      <c r="D116" s="69"/>
      <c r="E116" s="126"/>
      <c r="F116" s="211"/>
      <c r="G116" s="126"/>
      <c r="H116" s="43" t="s">
        <v>19</v>
      </c>
      <c r="I116" s="118"/>
      <c r="J116" s="118"/>
      <c r="K116" s="130"/>
      <c r="L116" s="191"/>
      <c r="M116" s="116"/>
      <c r="N116" s="119"/>
      <c r="O116" s="42" t="s">
        <v>20</v>
      </c>
      <c r="P116" s="15"/>
      <c r="Q116" s="15"/>
      <c r="R116" s="15"/>
      <c r="S116" s="15"/>
      <c r="T116" s="15"/>
      <c r="U116" s="15"/>
      <c r="V116" s="15"/>
      <c r="W116" s="15"/>
      <c r="X116" s="15"/>
      <c r="Y116" s="15"/>
      <c r="Z116" s="15"/>
      <c r="AA116" s="15"/>
      <c r="AB116" s="44"/>
    </row>
    <row r="117" spans="1:28" ht="22" customHeight="1">
      <c r="A117" s="87"/>
      <c r="B117" s="215"/>
      <c r="C117" s="215"/>
      <c r="D117" s="67"/>
      <c r="E117" s="125" t="s">
        <v>367</v>
      </c>
      <c r="F117" s="210" t="s">
        <v>377</v>
      </c>
      <c r="G117" s="125" t="s">
        <v>370</v>
      </c>
      <c r="H117" s="41" t="s">
        <v>34</v>
      </c>
      <c r="I117" s="118" t="s">
        <v>15</v>
      </c>
      <c r="J117" s="118" t="s">
        <v>30</v>
      </c>
      <c r="K117" s="130"/>
      <c r="L117" s="191"/>
      <c r="M117" s="116"/>
      <c r="N117" s="119"/>
      <c r="O117" s="42" t="s">
        <v>18</v>
      </c>
      <c r="P117" s="53"/>
      <c r="Q117" s="53"/>
      <c r="R117" s="16"/>
      <c r="S117" s="16"/>
      <c r="T117" s="16"/>
      <c r="U117" s="16"/>
      <c r="V117" s="16"/>
      <c r="W117" s="16"/>
      <c r="X117" s="16"/>
      <c r="Y117" s="16"/>
      <c r="Z117" s="16"/>
      <c r="AA117" s="16"/>
      <c r="AB117" s="45"/>
    </row>
    <row r="118" spans="1:28" ht="22" customHeight="1">
      <c r="A118" s="87"/>
      <c r="B118" s="215"/>
      <c r="C118" s="215"/>
      <c r="D118" s="69"/>
      <c r="E118" s="126"/>
      <c r="F118" s="211"/>
      <c r="G118" s="126"/>
      <c r="H118" s="43" t="s">
        <v>35</v>
      </c>
      <c r="I118" s="118"/>
      <c r="J118" s="118"/>
      <c r="K118" s="130"/>
      <c r="L118" s="191"/>
      <c r="M118" s="116"/>
      <c r="N118" s="119"/>
      <c r="O118" s="42" t="s">
        <v>20</v>
      </c>
      <c r="P118" s="15"/>
      <c r="Q118" s="15"/>
      <c r="R118" s="15"/>
      <c r="S118" s="15"/>
      <c r="T118" s="15"/>
      <c r="U118" s="15"/>
      <c r="V118" s="15"/>
      <c r="W118" s="15"/>
      <c r="X118" s="15"/>
      <c r="Y118" s="15"/>
      <c r="Z118" s="15"/>
      <c r="AA118" s="15"/>
      <c r="AB118" s="44"/>
    </row>
    <row r="119" spans="1:28" ht="22" customHeight="1">
      <c r="A119" s="87"/>
      <c r="B119" s="215"/>
      <c r="C119" s="215"/>
      <c r="D119" s="67"/>
      <c r="E119" s="125" t="s">
        <v>231</v>
      </c>
      <c r="F119" s="210" t="s">
        <v>376</v>
      </c>
      <c r="G119" s="125" t="s">
        <v>371</v>
      </c>
      <c r="H119" s="41" t="s">
        <v>34</v>
      </c>
      <c r="I119" s="118" t="s">
        <v>15</v>
      </c>
      <c r="J119" s="118" t="s">
        <v>30</v>
      </c>
      <c r="K119" s="130" t="s">
        <v>47</v>
      </c>
      <c r="L119" s="191"/>
      <c r="M119" s="116"/>
      <c r="N119" s="119"/>
      <c r="O119" s="42" t="s">
        <v>18</v>
      </c>
      <c r="P119" s="53"/>
      <c r="Q119" s="53"/>
      <c r="R119" s="16"/>
      <c r="S119" s="16"/>
      <c r="T119" s="16"/>
      <c r="U119" s="16"/>
      <c r="V119" s="16"/>
      <c r="W119" s="16"/>
      <c r="X119" s="16"/>
      <c r="Y119" s="16"/>
      <c r="Z119" s="16"/>
      <c r="AA119" s="16"/>
      <c r="AB119" s="45"/>
    </row>
    <row r="120" spans="1:28" ht="22" customHeight="1">
      <c r="A120" s="87"/>
      <c r="B120" s="215"/>
      <c r="C120" s="215"/>
      <c r="D120" s="69"/>
      <c r="E120" s="126"/>
      <c r="F120" s="211"/>
      <c r="G120" s="126"/>
      <c r="H120" s="43" t="s">
        <v>35</v>
      </c>
      <c r="I120" s="118"/>
      <c r="J120" s="118"/>
      <c r="K120" s="130"/>
      <c r="L120" s="191"/>
      <c r="M120" s="116"/>
      <c r="N120" s="119"/>
      <c r="O120" s="42" t="s">
        <v>20</v>
      </c>
      <c r="P120" s="15"/>
      <c r="Q120" s="15"/>
      <c r="R120" s="15"/>
      <c r="S120" s="15"/>
      <c r="T120" s="15"/>
      <c r="U120" s="15"/>
      <c r="V120" s="15"/>
      <c r="W120" s="15"/>
      <c r="X120" s="15"/>
      <c r="Y120" s="15"/>
      <c r="Z120" s="15"/>
      <c r="AA120" s="15"/>
      <c r="AB120" s="44"/>
    </row>
    <row r="121" spans="1:28" ht="22" customHeight="1">
      <c r="A121" s="87"/>
      <c r="B121" s="215"/>
      <c r="C121" s="215"/>
      <c r="D121" s="67"/>
      <c r="E121" s="125" t="s">
        <v>232</v>
      </c>
      <c r="F121" s="210" t="s">
        <v>375</v>
      </c>
      <c r="G121" s="125" t="s">
        <v>372</v>
      </c>
      <c r="H121" s="41" t="s">
        <v>34</v>
      </c>
      <c r="I121" s="118" t="s">
        <v>15</v>
      </c>
      <c r="J121" s="118" t="s">
        <v>30</v>
      </c>
      <c r="K121" s="130" t="s">
        <v>47</v>
      </c>
      <c r="L121" s="191"/>
      <c r="M121" s="116"/>
      <c r="N121" s="119"/>
      <c r="O121" s="42" t="s">
        <v>18</v>
      </c>
      <c r="P121" s="53"/>
      <c r="Q121" s="53"/>
      <c r="R121" s="16"/>
      <c r="S121" s="16"/>
      <c r="T121" s="16"/>
      <c r="U121" s="16"/>
      <c r="V121" s="16"/>
      <c r="W121" s="16"/>
      <c r="X121" s="16"/>
      <c r="Y121" s="16"/>
      <c r="Z121" s="16"/>
      <c r="AA121" s="16"/>
      <c r="AB121" s="45"/>
    </row>
    <row r="122" spans="1:28" ht="22" customHeight="1">
      <c r="A122" s="87"/>
      <c r="B122" s="215"/>
      <c r="C122" s="215"/>
      <c r="D122" s="69"/>
      <c r="E122" s="126"/>
      <c r="F122" s="211"/>
      <c r="G122" s="126"/>
      <c r="H122" s="43" t="s">
        <v>35</v>
      </c>
      <c r="I122" s="118"/>
      <c r="J122" s="118"/>
      <c r="K122" s="130"/>
      <c r="L122" s="191"/>
      <c r="M122" s="116"/>
      <c r="N122" s="119"/>
      <c r="O122" s="42" t="s">
        <v>20</v>
      </c>
      <c r="P122" s="15"/>
      <c r="Q122" s="15"/>
      <c r="R122" s="15"/>
      <c r="S122" s="15"/>
      <c r="T122" s="15"/>
      <c r="U122" s="15"/>
      <c r="V122" s="15"/>
      <c r="W122" s="15"/>
      <c r="X122" s="15"/>
      <c r="Y122" s="15"/>
      <c r="Z122" s="15"/>
      <c r="AA122" s="15"/>
      <c r="AB122" s="44"/>
    </row>
    <row r="123" spans="1:28" ht="22" customHeight="1">
      <c r="A123" s="87"/>
      <c r="B123" s="215"/>
      <c r="C123" s="215"/>
      <c r="D123" s="67"/>
      <c r="E123" s="125" t="s">
        <v>233</v>
      </c>
      <c r="F123" s="210" t="s">
        <v>374</v>
      </c>
      <c r="G123" s="125" t="s">
        <v>373</v>
      </c>
      <c r="H123" s="41" t="s">
        <v>34</v>
      </c>
      <c r="I123" s="118" t="s">
        <v>15</v>
      </c>
      <c r="J123" s="118" t="s">
        <v>30</v>
      </c>
      <c r="K123" s="130" t="s">
        <v>47</v>
      </c>
      <c r="L123" s="191"/>
      <c r="M123" s="116"/>
      <c r="N123" s="119"/>
      <c r="O123" s="42" t="s">
        <v>18</v>
      </c>
      <c r="P123" s="53"/>
      <c r="Q123" s="53"/>
      <c r="R123" s="16"/>
      <c r="S123" s="16"/>
      <c r="T123" s="16"/>
      <c r="U123" s="16"/>
      <c r="V123" s="16"/>
      <c r="W123" s="16"/>
      <c r="X123" s="16"/>
      <c r="Y123" s="16"/>
      <c r="Z123" s="16"/>
      <c r="AA123" s="16"/>
      <c r="AB123" s="45"/>
    </row>
    <row r="124" spans="1:28" ht="22" customHeight="1">
      <c r="A124" s="87"/>
      <c r="B124" s="215"/>
      <c r="C124" s="215"/>
      <c r="D124" s="69"/>
      <c r="E124" s="126"/>
      <c r="F124" s="211"/>
      <c r="G124" s="126"/>
      <c r="H124" s="43" t="s">
        <v>35</v>
      </c>
      <c r="I124" s="118"/>
      <c r="J124" s="118"/>
      <c r="K124" s="130"/>
      <c r="L124" s="191"/>
      <c r="M124" s="116"/>
      <c r="N124" s="119"/>
      <c r="O124" s="42" t="s">
        <v>20</v>
      </c>
      <c r="P124" s="15"/>
      <c r="Q124" s="15"/>
      <c r="R124" s="15"/>
      <c r="S124" s="15"/>
      <c r="T124" s="15"/>
      <c r="U124" s="15"/>
      <c r="V124" s="15"/>
      <c r="W124" s="15"/>
      <c r="X124" s="15"/>
      <c r="Y124" s="15"/>
      <c r="Z124" s="15"/>
      <c r="AA124" s="15"/>
      <c r="AB124" s="44"/>
    </row>
    <row r="125" spans="1:28" ht="22" customHeight="1">
      <c r="A125" s="87"/>
      <c r="B125" s="215"/>
      <c r="C125" s="215"/>
      <c r="D125" s="67"/>
      <c r="E125" s="125" t="s">
        <v>222</v>
      </c>
      <c r="F125" s="210" t="s">
        <v>379</v>
      </c>
      <c r="G125" s="125" t="s">
        <v>378</v>
      </c>
      <c r="H125" s="41" t="s">
        <v>34</v>
      </c>
      <c r="I125" s="118" t="s">
        <v>15</v>
      </c>
      <c r="J125" s="118" t="s">
        <v>30</v>
      </c>
      <c r="K125" s="130" t="s">
        <v>47</v>
      </c>
      <c r="L125" s="191"/>
      <c r="M125" s="116"/>
      <c r="N125" s="119"/>
      <c r="O125" s="42" t="s">
        <v>18</v>
      </c>
      <c r="P125" s="53"/>
      <c r="Q125" s="53"/>
      <c r="R125" s="16"/>
      <c r="S125" s="16"/>
      <c r="T125" s="16"/>
      <c r="U125" s="16"/>
      <c r="V125" s="16"/>
      <c r="W125" s="16"/>
      <c r="X125" s="16"/>
      <c r="Y125" s="16"/>
      <c r="Z125" s="16"/>
      <c r="AA125" s="16"/>
      <c r="AB125" s="45"/>
    </row>
    <row r="126" spans="1:28" ht="22" customHeight="1">
      <c r="A126" s="87"/>
      <c r="B126" s="215"/>
      <c r="C126" s="215"/>
      <c r="D126" s="69"/>
      <c r="E126" s="126"/>
      <c r="F126" s="211"/>
      <c r="G126" s="126"/>
      <c r="H126" s="43" t="s">
        <v>35</v>
      </c>
      <c r="I126" s="118"/>
      <c r="J126" s="118"/>
      <c r="K126" s="130"/>
      <c r="L126" s="191"/>
      <c r="M126" s="116"/>
      <c r="N126" s="119"/>
      <c r="O126" s="42" t="s">
        <v>20</v>
      </c>
      <c r="P126" s="15"/>
      <c r="Q126" s="15"/>
      <c r="R126" s="15"/>
      <c r="S126" s="15"/>
      <c r="T126" s="15"/>
      <c r="U126" s="15"/>
      <c r="V126" s="15"/>
      <c r="W126" s="15"/>
      <c r="X126" s="15"/>
      <c r="Y126" s="15"/>
      <c r="Z126" s="15"/>
      <c r="AA126" s="15"/>
      <c r="AB126" s="44"/>
    </row>
    <row r="127" spans="1:28" ht="22" customHeight="1">
      <c r="A127" s="87"/>
      <c r="B127" s="215"/>
      <c r="C127" s="215"/>
      <c r="D127" s="67"/>
      <c r="E127" s="217" t="s">
        <v>380</v>
      </c>
      <c r="F127" s="210" t="s">
        <v>316</v>
      </c>
      <c r="G127" s="125" t="s">
        <v>315</v>
      </c>
      <c r="H127" s="41" t="s">
        <v>23</v>
      </c>
      <c r="I127" s="118" t="s">
        <v>15</v>
      </c>
      <c r="J127" s="118" t="s">
        <v>30</v>
      </c>
      <c r="K127" s="130" t="s">
        <v>47</v>
      </c>
      <c r="L127" s="191"/>
      <c r="M127" s="116"/>
      <c r="N127" s="119"/>
      <c r="O127" s="42" t="s">
        <v>18</v>
      </c>
      <c r="P127" s="53"/>
      <c r="Q127" s="53"/>
      <c r="R127" s="16"/>
      <c r="S127" s="16"/>
      <c r="T127" s="16"/>
      <c r="U127" s="16"/>
      <c r="V127" s="16"/>
      <c r="W127" s="16"/>
      <c r="X127" s="16"/>
      <c r="Y127" s="16"/>
      <c r="Z127" s="16"/>
      <c r="AA127" s="16"/>
      <c r="AB127" s="45"/>
    </row>
    <row r="128" spans="1:28" ht="22" customHeight="1">
      <c r="A128" s="87"/>
      <c r="B128" s="215"/>
      <c r="C128" s="215"/>
      <c r="D128" s="69"/>
      <c r="E128" s="218"/>
      <c r="F128" s="211"/>
      <c r="G128" s="126"/>
      <c r="H128" s="43" t="s">
        <v>19</v>
      </c>
      <c r="I128" s="118"/>
      <c r="J128" s="118"/>
      <c r="K128" s="130"/>
      <c r="L128" s="191"/>
      <c r="M128" s="116"/>
      <c r="N128" s="119"/>
      <c r="O128" s="42" t="s">
        <v>20</v>
      </c>
      <c r="P128" s="15"/>
      <c r="Q128" s="15"/>
      <c r="R128" s="15"/>
      <c r="S128" s="15"/>
      <c r="T128" s="15"/>
      <c r="U128" s="15"/>
      <c r="V128" s="15"/>
      <c r="W128" s="15"/>
      <c r="X128" s="15"/>
      <c r="Y128" s="15"/>
      <c r="Z128" s="15"/>
      <c r="AA128" s="15"/>
      <c r="AB128" s="44"/>
    </row>
    <row r="129" spans="1:28" ht="22" customHeight="1">
      <c r="A129" s="87"/>
      <c r="B129" s="215"/>
      <c r="C129" s="215"/>
      <c r="D129" s="67"/>
      <c r="E129" s="125" t="s">
        <v>230</v>
      </c>
      <c r="F129" s="210" t="s">
        <v>382</v>
      </c>
      <c r="G129" s="125" t="s">
        <v>381</v>
      </c>
      <c r="H129" s="41" t="s">
        <v>23</v>
      </c>
      <c r="I129" s="118" t="s">
        <v>15</v>
      </c>
      <c r="J129" s="118" t="s">
        <v>30</v>
      </c>
      <c r="K129" s="130" t="s">
        <v>47</v>
      </c>
      <c r="L129" s="191"/>
      <c r="M129" s="116"/>
      <c r="N129" s="119"/>
      <c r="O129" s="42" t="s">
        <v>18</v>
      </c>
      <c r="P129" s="53"/>
      <c r="Q129" s="53"/>
      <c r="R129" s="16"/>
      <c r="S129" s="16"/>
      <c r="T129" s="16"/>
      <c r="U129" s="16"/>
      <c r="V129" s="16"/>
      <c r="W129" s="16"/>
      <c r="X129" s="16"/>
      <c r="Y129" s="16"/>
      <c r="Z129" s="16"/>
      <c r="AA129" s="16"/>
      <c r="AB129" s="45"/>
    </row>
    <row r="130" spans="1:28" ht="22" customHeight="1">
      <c r="A130" s="87"/>
      <c r="B130" s="215"/>
      <c r="C130" s="215"/>
      <c r="D130" s="69"/>
      <c r="E130" s="126"/>
      <c r="F130" s="211"/>
      <c r="G130" s="126"/>
      <c r="H130" s="43" t="s">
        <v>19</v>
      </c>
      <c r="I130" s="118"/>
      <c r="J130" s="118"/>
      <c r="K130" s="130"/>
      <c r="L130" s="191"/>
      <c r="M130" s="116"/>
      <c r="N130" s="119"/>
      <c r="O130" s="42" t="s">
        <v>20</v>
      </c>
      <c r="P130" s="15"/>
      <c r="Q130" s="15"/>
      <c r="R130" s="15"/>
      <c r="S130" s="15"/>
      <c r="T130" s="15"/>
      <c r="U130" s="15"/>
      <c r="V130" s="15"/>
      <c r="W130" s="15"/>
      <c r="X130" s="15"/>
      <c r="Y130" s="15"/>
      <c r="Z130" s="15"/>
      <c r="AA130" s="15"/>
      <c r="AB130" s="44"/>
    </row>
    <row r="131" spans="1:28" ht="22" customHeight="1">
      <c r="A131" s="87"/>
      <c r="B131" s="215"/>
      <c r="C131" s="215"/>
      <c r="D131" s="67"/>
      <c r="E131" s="125" t="s">
        <v>383</v>
      </c>
      <c r="F131" s="210" t="s">
        <v>385</v>
      </c>
      <c r="G131" s="125" t="s">
        <v>384</v>
      </c>
      <c r="H131" s="41" t="s">
        <v>23</v>
      </c>
      <c r="I131" s="118" t="s">
        <v>15</v>
      </c>
      <c r="J131" s="118" t="s">
        <v>30</v>
      </c>
      <c r="K131" s="130" t="s">
        <v>47</v>
      </c>
      <c r="L131" s="191"/>
      <c r="M131" s="116"/>
      <c r="N131" s="119"/>
      <c r="O131" s="42" t="s">
        <v>18</v>
      </c>
      <c r="P131" s="53"/>
      <c r="Q131" s="53"/>
      <c r="R131" s="16"/>
      <c r="S131" s="16"/>
      <c r="T131" s="16"/>
      <c r="U131" s="16"/>
      <c r="V131" s="16"/>
      <c r="W131" s="16"/>
      <c r="X131" s="16"/>
      <c r="Y131" s="16"/>
      <c r="Z131" s="16"/>
      <c r="AA131" s="16"/>
      <c r="AB131" s="45"/>
    </row>
    <row r="132" spans="1:28" ht="22" customHeight="1">
      <c r="A132" s="87"/>
      <c r="B132" s="215"/>
      <c r="C132" s="215"/>
      <c r="D132" s="69"/>
      <c r="E132" s="126"/>
      <c r="F132" s="211"/>
      <c r="G132" s="126"/>
      <c r="H132" s="43" t="s">
        <v>19</v>
      </c>
      <c r="I132" s="118"/>
      <c r="J132" s="118"/>
      <c r="K132" s="130"/>
      <c r="L132" s="191"/>
      <c r="M132" s="116"/>
      <c r="N132" s="119"/>
      <c r="O132" s="42" t="s">
        <v>20</v>
      </c>
      <c r="P132" s="15"/>
      <c r="Q132" s="15"/>
      <c r="R132" s="15"/>
      <c r="S132" s="15"/>
      <c r="T132" s="15"/>
      <c r="U132" s="15"/>
      <c r="V132" s="15"/>
      <c r="W132" s="15"/>
      <c r="X132" s="15"/>
      <c r="Y132" s="15"/>
      <c r="Z132" s="15"/>
      <c r="AA132" s="15"/>
      <c r="AB132" s="44"/>
    </row>
    <row r="133" spans="1:28" ht="22" customHeight="1">
      <c r="A133" s="87"/>
      <c r="B133" s="216" t="s">
        <v>195</v>
      </c>
      <c r="C133" s="216"/>
      <c r="D133" s="67"/>
      <c r="E133" s="125" t="s">
        <v>116</v>
      </c>
      <c r="F133" s="210"/>
      <c r="G133" s="125" t="s">
        <v>387</v>
      </c>
      <c r="H133" s="41" t="s">
        <v>23</v>
      </c>
      <c r="I133" s="118" t="s">
        <v>15</v>
      </c>
      <c r="J133" s="118" t="s">
        <v>16</v>
      </c>
      <c r="K133" s="130" t="s">
        <v>44</v>
      </c>
      <c r="L133" s="191"/>
      <c r="M133" s="116"/>
      <c r="N133" s="119"/>
      <c r="O133" s="42" t="s">
        <v>18</v>
      </c>
      <c r="P133" s="53"/>
      <c r="Q133" s="53"/>
      <c r="R133" s="16"/>
      <c r="S133" s="16"/>
      <c r="T133" s="16"/>
      <c r="U133" s="16"/>
      <c r="V133" s="16"/>
      <c r="W133" s="16"/>
      <c r="X133" s="16"/>
      <c r="Y133" s="16"/>
      <c r="Z133" s="16"/>
      <c r="AA133" s="16"/>
      <c r="AB133" s="45"/>
    </row>
    <row r="134" spans="1:28" ht="22" customHeight="1">
      <c r="A134" s="87"/>
      <c r="B134" s="216"/>
      <c r="C134" s="216"/>
      <c r="D134" s="69"/>
      <c r="E134" s="126"/>
      <c r="F134" s="211"/>
      <c r="G134" s="126"/>
      <c r="H134" s="43" t="s">
        <v>19</v>
      </c>
      <c r="I134" s="118"/>
      <c r="J134" s="118"/>
      <c r="K134" s="130"/>
      <c r="L134" s="191"/>
      <c r="M134" s="116"/>
      <c r="N134" s="119"/>
      <c r="O134" s="42" t="s">
        <v>20</v>
      </c>
      <c r="P134" s="15"/>
      <c r="Q134" s="15"/>
      <c r="R134" s="15"/>
      <c r="S134" s="15"/>
      <c r="T134" s="15"/>
      <c r="U134" s="15"/>
      <c r="V134" s="15"/>
      <c r="W134" s="15"/>
      <c r="X134" s="15"/>
      <c r="Y134" s="15"/>
      <c r="Z134" s="15"/>
      <c r="AA134" s="15"/>
      <c r="AB134" s="44"/>
    </row>
    <row r="135" spans="1:28" ht="22" customHeight="1">
      <c r="A135" s="87"/>
      <c r="B135" s="216"/>
      <c r="C135" s="216"/>
      <c r="D135" s="67"/>
      <c r="E135" s="125" t="s">
        <v>388</v>
      </c>
      <c r="F135" s="210" t="s">
        <v>390</v>
      </c>
      <c r="G135" s="125" t="s">
        <v>389</v>
      </c>
      <c r="H135" s="41" t="s">
        <v>23</v>
      </c>
      <c r="I135" s="118" t="s">
        <v>15</v>
      </c>
      <c r="J135" s="118" t="s">
        <v>30</v>
      </c>
      <c r="K135" s="130"/>
      <c r="L135" s="191"/>
      <c r="M135" s="116"/>
      <c r="N135" s="119"/>
      <c r="O135" s="42" t="s">
        <v>18</v>
      </c>
      <c r="P135" s="53"/>
      <c r="Q135" s="53"/>
      <c r="R135" s="16"/>
      <c r="S135" s="16"/>
      <c r="T135" s="16"/>
      <c r="U135" s="16"/>
      <c r="V135" s="16"/>
      <c r="W135" s="16"/>
      <c r="X135" s="16"/>
      <c r="Y135" s="16"/>
      <c r="Z135" s="16"/>
      <c r="AA135" s="16"/>
      <c r="AB135" s="45"/>
    </row>
    <row r="136" spans="1:28" ht="22" customHeight="1">
      <c r="A136" s="87"/>
      <c r="B136" s="216"/>
      <c r="C136" s="216"/>
      <c r="D136" s="69"/>
      <c r="E136" s="126"/>
      <c r="F136" s="211"/>
      <c r="G136" s="126"/>
      <c r="H136" s="43" t="s">
        <v>35</v>
      </c>
      <c r="I136" s="118"/>
      <c r="J136" s="118"/>
      <c r="K136" s="130"/>
      <c r="L136" s="191"/>
      <c r="M136" s="116"/>
      <c r="N136" s="119"/>
      <c r="O136" s="42" t="s">
        <v>20</v>
      </c>
      <c r="P136" s="15"/>
      <c r="Q136" s="15"/>
      <c r="R136" s="15"/>
      <c r="S136" s="15"/>
      <c r="T136" s="15"/>
      <c r="U136" s="15"/>
      <c r="V136" s="15"/>
      <c r="W136" s="15"/>
      <c r="X136" s="15"/>
      <c r="Y136" s="15"/>
      <c r="Z136" s="15"/>
      <c r="AA136" s="15"/>
      <c r="AB136" s="44"/>
    </row>
    <row r="137" spans="1:28" ht="22" customHeight="1">
      <c r="A137" s="87"/>
      <c r="B137" s="216"/>
      <c r="C137" s="216"/>
      <c r="D137" s="67"/>
      <c r="E137" s="125" t="s">
        <v>119</v>
      </c>
      <c r="F137" s="210" t="s">
        <v>399</v>
      </c>
      <c r="G137" s="125" t="s">
        <v>391</v>
      </c>
      <c r="H137" s="41" t="s">
        <v>14</v>
      </c>
      <c r="I137" s="118" t="s">
        <v>45</v>
      </c>
      <c r="J137" s="118" t="s">
        <v>30</v>
      </c>
      <c r="K137" s="130" t="s">
        <v>44</v>
      </c>
      <c r="L137" s="191"/>
      <c r="M137" s="116"/>
      <c r="N137" s="119"/>
      <c r="O137" s="42" t="s">
        <v>18</v>
      </c>
      <c r="P137" s="53"/>
      <c r="Q137" s="53"/>
      <c r="R137" s="16"/>
      <c r="S137" s="16"/>
      <c r="T137" s="16"/>
      <c r="U137" s="16"/>
      <c r="V137" s="16"/>
      <c r="W137" s="16"/>
      <c r="X137" s="16"/>
      <c r="Y137" s="16"/>
      <c r="Z137" s="16"/>
      <c r="AA137" s="16"/>
      <c r="AB137" s="45"/>
    </row>
    <row r="138" spans="1:28" ht="22" customHeight="1">
      <c r="A138" s="87"/>
      <c r="B138" s="216"/>
      <c r="C138" s="216"/>
      <c r="D138" s="69"/>
      <c r="E138" s="126"/>
      <c r="F138" s="211"/>
      <c r="G138" s="126"/>
      <c r="H138" s="43" t="s">
        <v>43</v>
      </c>
      <c r="I138" s="118"/>
      <c r="J138" s="118"/>
      <c r="K138" s="130"/>
      <c r="L138" s="191"/>
      <c r="M138" s="116"/>
      <c r="N138" s="119"/>
      <c r="O138" s="42" t="s">
        <v>20</v>
      </c>
      <c r="P138" s="15"/>
      <c r="Q138" s="15"/>
      <c r="R138" s="15"/>
      <c r="S138" s="15"/>
      <c r="T138" s="15"/>
      <c r="U138" s="15"/>
      <c r="V138" s="15"/>
      <c r="W138" s="15"/>
      <c r="X138" s="15"/>
      <c r="Y138" s="15"/>
      <c r="Z138" s="15"/>
      <c r="AA138" s="15"/>
      <c r="AB138" s="44"/>
    </row>
    <row r="139" spans="1:28" ht="22" customHeight="1">
      <c r="A139" s="87"/>
      <c r="B139" s="216"/>
      <c r="C139" s="216"/>
      <c r="D139" s="67"/>
      <c r="E139" s="125" t="s">
        <v>117</v>
      </c>
      <c r="F139" s="210" t="s">
        <v>393</v>
      </c>
      <c r="G139" s="125" t="s">
        <v>392</v>
      </c>
      <c r="H139" s="41" t="s">
        <v>14</v>
      </c>
      <c r="I139" s="118" t="s">
        <v>46</v>
      </c>
      <c r="J139" s="118" t="s">
        <v>30</v>
      </c>
      <c r="K139" s="130" t="s">
        <v>44</v>
      </c>
      <c r="L139" s="191"/>
      <c r="M139" s="116"/>
      <c r="N139" s="119"/>
      <c r="O139" s="42" t="s">
        <v>18</v>
      </c>
      <c r="P139" s="53"/>
      <c r="Q139" s="53"/>
      <c r="R139" s="16"/>
      <c r="S139" s="16"/>
      <c r="T139" s="16"/>
      <c r="U139" s="16"/>
      <c r="V139" s="16"/>
      <c r="W139" s="16"/>
      <c r="X139" s="16"/>
      <c r="Y139" s="16"/>
      <c r="Z139" s="16"/>
      <c r="AA139" s="16"/>
      <c r="AB139" s="45"/>
    </row>
    <row r="140" spans="1:28" ht="22" customHeight="1">
      <c r="A140" s="87"/>
      <c r="B140" s="216"/>
      <c r="C140" s="216"/>
      <c r="D140" s="69"/>
      <c r="E140" s="126"/>
      <c r="F140" s="211"/>
      <c r="G140" s="126"/>
      <c r="H140" s="43" t="s">
        <v>43</v>
      </c>
      <c r="I140" s="118"/>
      <c r="J140" s="118"/>
      <c r="K140" s="130"/>
      <c r="L140" s="191"/>
      <c r="M140" s="116"/>
      <c r="N140" s="119"/>
      <c r="O140" s="42" t="s">
        <v>20</v>
      </c>
      <c r="P140" s="15"/>
      <c r="Q140" s="15"/>
      <c r="R140" s="15"/>
      <c r="S140" s="15"/>
      <c r="T140" s="15"/>
      <c r="U140" s="15"/>
      <c r="V140" s="15"/>
      <c r="W140" s="15"/>
      <c r="X140" s="15"/>
      <c r="Y140" s="15"/>
      <c r="Z140" s="15"/>
      <c r="AA140" s="15"/>
      <c r="AB140" s="44"/>
    </row>
    <row r="141" spans="1:28" ht="22" customHeight="1">
      <c r="A141" s="87"/>
      <c r="B141" s="216"/>
      <c r="C141" s="216"/>
      <c r="D141" s="67"/>
      <c r="E141" s="125" t="s">
        <v>223</v>
      </c>
      <c r="F141" s="210" t="s">
        <v>400</v>
      </c>
      <c r="G141" s="125" t="s">
        <v>394</v>
      </c>
      <c r="H141" s="41"/>
      <c r="I141" s="118"/>
      <c r="J141" s="118"/>
      <c r="K141" s="130"/>
      <c r="L141" s="191"/>
      <c r="M141" s="116"/>
      <c r="N141" s="119"/>
      <c r="O141" s="42" t="s">
        <v>18</v>
      </c>
      <c r="P141" s="53"/>
      <c r="Q141" s="53"/>
      <c r="R141" s="16"/>
      <c r="S141" s="16"/>
      <c r="T141" s="16"/>
      <c r="U141" s="16"/>
      <c r="V141" s="16"/>
      <c r="W141" s="16"/>
      <c r="X141" s="16"/>
      <c r="Y141" s="16"/>
      <c r="Z141" s="16"/>
      <c r="AA141" s="16"/>
      <c r="AB141" s="45"/>
    </row>
    <row r="142" spans="1:28" ht="22" customHeight="1">
      <c r="A142" s="87"/>
      <c r="B142" s="216"/>
      <c r="C142" s="216"/>
      <c r="D142" s="69"/>
      <c r="E142" s="126"/>
      <c r="F142" s="211"/>
      <c r="G142" s="126"/>
      <c r="H142" s="43"/>
      <c r="I142" s="118"/>
      <c r="J142" s="118"/>
      <c r="K142" s="130"/>
      <c r="L142" s="191"/>
      <c r="M142" s="116"/>
      <c r="N142" s="119"/>
      <c r="O142" s="42" t="s">
        <v>20</v>
      </c>
      <c r="P142" s="15"/>
      <c r="Q142" s="15"/>
      <c r="R142" s="15"/>
      <c r="S142" s="15"/>
      <c r="T142" s="15"/>
      <c r="U142" s="15"/>
      <c r="V142" s="15"/>
      <c r="W142" s="15"/>
      <c r="X142" s="15"/>
      <c r="Y142" s="15"/>
      <c r="Z142" s="15"/>
      <c r="AA142" s="15"/>
      <c r="AB142" s="44"/>
    </row>
    <row r="143" spans="1:28" ht="22" customHeight="1">
      <c r="A143" s="87"/>
      <c r="B143" s="216"/>
      <c r="C143" s="216"/>
      <c r="D143" s="67"/>
      <c r="E143" s="125" t="s">
        <v>224</v>
      </c>
      <c r="F143" s="210" t="s">
        <v>401</v>
      </c>
      <c r="G143" s="125" t="s">
        <v>395</v>
      </c>
      <c r="H143" s="41"/>
      <c r="I143" s="118"/>
      <c r="J143" s="118"/>
      <c r="K143" s="130"/>
      <c r="L143" s="191"/>
      <c r="M143" s="116"/>
      <c r="N143" s="119"/>
      <c r="O143" s="42" t="s">
        <v>18</v>
      </c>
      <c r="P143" s="53"/>
      <c r="Q143" s="53"/>
      <c r="R143" s="16"/>
      <c r="S143" s="16"/>
      <c r="T143" s="16"/>
      <c r="U143" s="16"/>
      <c r="V143" s="16"/>
      <c r="W143" s="16"/>
      <c r="X143" s="16"/>
      <c r="Y143" s="16"/>
      <c r="Z143" s="16"/>
      <c r="AA143" s="16"/>
      <c r="AB143" s="45"/>
    </row>
    <row r="144" spans="1:28" ht="22" customHeight="1">
      <c r="A144" s="87"/>
      <c r="B144" s="216"/>
      <c r="C144" s="216"/>
      <c r="D144" s="69"/>
      <c r="E144" s="126"/>
      <c r="F144" s="211"/>
      <c r="G144" s="126"/>
      <c r="H144" s="43"/>
      <c r="I144" s="118"/>
      <c r="J144" s="118"/>
      <c r="K144" s="130"/>
      <c r="L144" s="191"/>
      <c r="M144" s="116"/>
      <c r="N144" s="119"/>
      <c r="O144" s="42" t="s">
        <v>20</v>
      </c>
      <c r="P144" s="15"/>
      <c r="Q144" s="15"/>
      <c r="R144" s="15"/>
      <c r="S144" s="15"/>
      <c r="T144" s="15"/>
      <c r="U144" s="15"/>
      <c r="V144" s="15"/>
      <c r="W144" s="15"/>
      <c r="X144" s="15"/>
      <c r="Y144" s="15"/>
      <c r="Z144" s="15"/>
      <c r="AA144" s="15"/>
      <c r="AB144" s="44"/>
    </row>
    <row r="145" spans="1:28" ht="22" customHeight="1">
      <c r="A145" s="87"/>
      <c r="B145" s="216"/>
      <c r="C145" s="216"/>
      <c r="D145" s="67"/>
      <c r="E145" s="125" t="s">
        <v>228</v>
      </c>
      <c r="F145" s="210" t="s">
        <v>396</v>
      </c>
      <c r="G145" s="125" t="s">
        <v>397</v>
      </c>
      <c r="H145" s="41"/>
      <c r="I145" s="118"/>
      <c r="J145" s="118"/>
      <c r="K145" s="130"/>
      <c r="L145" s="191"/>
      <c r="M145" s="116"/>
      <c r="N145" s="119"/>
      <c r="O145" s="42" t="s">
        <v>18</v>
      </c>
      <c r="P145" s="53"/>
      <c r="Q145" s="53"/>
      <c r="R145" s="16"/>
      <c r="S145" s="16"/>
      <c r="T145" s="16"/>
      <c r="U145" s="16"/>
      <c r="V145" s="16"/>
      <c r="W145" s="16"/>
      <c r="X145" s="16"/>
      <c r="Y145" s="16"/>
      <c r="Z145" s="16"/>
      <c r="AA145" s="16"/>
      <c r="AB145" s="45"/>
    </row>
    <row r="146" spans="1:28" ht="22" customHeight="1">
      <c r="A146" s="87"/>
      <c r="B146" s="216"/>
      <c r="C146" s="216"/>
      <c r="D146" s="69"/>
      <c r="E146" s="126"/>
      <c r="F146" s="211"/>
      <c r="G146" s="126"/>
      <c r="H146" s="43"/>
      <c r="I146" s="118"/>
      <c r="J146" s="118"/>
      <c r="K146" s="130"/>
      <c r="L146" s="191"/>
      <c r="M146" s="116"/>
      <c r="N146" s="119"/>
      <c r="O146" s="42" t="s">
        <v>20</v>
      </c>
      <c r="P146" s="15"/>
      <c r="Q146" s="15"/>
      <c r="R146" s="15"/>
      <c r="S146" s="15"/>
      <c r="T146" s="15"/>
      <c r="U146" s="15"/>
      <c r="V146" s="15"/>
      <c r="W146" s="15"/>
      <c r="X146" s="15"/>
      <c r="Y146" s="15"/>
      <c r="Z146" s="15"/>
      <c r="AA146" s="15"/>
      <c r="AB146" s="44"/>
    </row>
    <row r="147" spans="1:28" ht="22" customHeight="1">
      <c r="A147" s="87"/>
      <c r="B147" s="216"/>
      <c r="C147" s="216"/>
      <c r="D147" s="67"/>
      <c r="E147" s="125" t="s">
        <v>244</v>
      </c>
      <c r="F147" s="210" t="s">
        <v>402</v>
      </c>
      <c r="G147" s="125" t="s">
        <v>398</v>
      </c>
      <c r="H147" s="41"/>
      <c r="I147" s="118"/>
      <c r="J147" s="118"/>
      <c r="K147" s="130"/>
      <c r="L147" s="191"/>
      <c r="M147" s="116"/>
      <c r="N147" s="119"/>
      <c r="O147" s="42" t="s">
        <v>18</v>
      </c>
      <c r="P147" s="53"/>
      <c r="Q147" s="53"/>
      <c r="R147" s="16"/>
      <c r="S147" s="16"/>
      <c r="T147" s="16"/>
      <c r="U147" s="16"/>
      <c r="V147" s="16"/>
      <c r="W147" s="16"/>
      <c r="X147" s="16"/>
      <c r="Y147" s="16"/>
      <c r="Z147" s="16"/>
      <c r="AA147" s="16"/>
      <c r="AB147" s="45"/>
    </row>
    <row r="148" spans="1:28" ht="22" customHeight="1">
      <c r="A148" s="87"/>
      <c r="B148" s="216"/>
      <c r="C148" s="216"/>
      <c r="D148" s="69"/>
      <c r="E148" s="126"/>
      <c r="F148" s="211"/>
      <c r="G148" s="126"/>
      <c r="H148" s="43"/>
      <c r="I148" s="118"/>
      <c r="J148" s="118"/>
      <c r="K148" s="130"/>
      <c r="L148" s="191"/>
      <c r="M148" s="116"/>
      <c r="N148" s="119"/>
      <c r="O148" s="42" t="s">
        <v>20</v>
      </c>
      <c r="P148" s="15"/>
      <c r="Q148" s="15"/>
      <c r="R148" s="15"/>
      <c r="S148" s="15"/>
      <c r="T148" s="15"/>
      <c r="U148" s="15"/>
      <c r="V148" s="15"/>
      <c r="W148" s="15"/>
      <c r="X148" s="15"/>
      <c r="Y148" s="15"/>
      <c r="Z148" s="15"/>
      <c r="AA148" s="15"/>
      <c r="AB148" s="44"/>
    </row>
    <row r="149" spans="1:28" ht="22" customHeight="1">
      <c r="A149" s="87"/>
      <c r="B149" s="216"/>
      <c r="C149" s="216"/>
      <c r="D149" s="67"/>
      <c r="E149" s="125" t="s">
        <v>225</v>
      </c>
      <c r="F149" s="210" t="s">
        <v>403</v>
      </c>
      <c r="G149" s="125" t="s">
        <v>403</v>
      </c>
      <c r="H149" s="41"/>
      <c r="I149" s="118"/>
      <c r="J149" s="118"/>
      <c r="K149" s="130"/>
      <c r="L149" s="191"/>
      <c r="M149" s="116"/>
      <c r="N149" s="119"/>
      <c r="O149" s="42" t="s">
        <v>18</v>
      </c>
      <c r="P149" s="53"/>
      <c r="Q149" s="53"/>
      <c r="R149" s="16"/>
      <c r="S149" s="16"/>
      <c r="T149" s="16"/>
      <c r="U149" s="16"/>
      <c r="V149" s="16"/>
      <c r="W149" s="16"/>
      <c r="X149" s="16"/>
      <c r="Y149" s="16"/>
      <c r="Z149" s="16"/>
      <c r="AA149" s="16"/>
      <c r="AB149" s="45"/>
    </row>
    <row r="150" spans="1:28" ht="22" customHeight="1">
      <c r="A150" s="87"/>
      <c r="B150" s="216"/>
      <c r="C150" s="216"/>
      <c r="D150" s="69"/>
      <c r="E150" s="126"/>
      <c r="F150" s="211"/>
      <c r="G150" s="126"/>
      <c r="H150" s="43"/>
      <c r="I150" s="118"/>
      <c r="J150" s="118"/>
      <c r="K150" s="130"/>
      <c r="L150" s="191"/>
      <c r="M150" s="116"/>
      <c r="N150" s="119"/>
      <c r="O150" s="42" t="s">
        <v>20</v>
      </c>
      <c r="P150" s="15"/>
      <c r="Q150" s="15"/>
      <c r="R150" s="15"/>
      <c r="S150" s="15"/>
      <c r="T150" s="15"/>
      <c r="U150" s="15"/>
      <c r="V150" s="15"/>
      <c r="W150" s="15"/>
      <c r="X150" s="15"/>
      <c r="Y150" s="15"/>
      <c r="Z150" s="15"/>
      <c r="AA150" s="15"/>
      <c r="AB150" s="44"/>
    </row>
    <row r="151" spans="1:28" ht="22" customHeight="1">
      <c r="A151" s="87"/>
      <c r="B151" s="216"/>
      <c r="C151" s="216"/>
      <c r="D151" s="67"/>
      <c r="E151" s="125" t="s">
        <v>226</v>
      </c>
      <c r="F151" s="210" t="s">
        <v>406</v>
      </c>
      <c r="G151" s="125" t="s">
        <v>404</v>
      </c>
      <c r="H151" s="41"/>
      <c r="I151" s="118"/>
      <c r="J151" s="118"/>
      <c r="K151" s="130"/>
      <c r="L151" s="191"/>
      <c r="M151" s="116"/>
      <c r="N151" s="119"/>
      <c r="O151" s="42" t="s">
        <v>18</v>
      </c>
      <c r="P151" s="53"/>
      <c r="Q151" s="53"/>
      <c r="R151" s="16"/>
      <c r="S151" s="16"/>
      <c r="T151" s="16"/>
      <c r="U151" s="16"/>
      <c r="V151" s="16"/>
      <c r="W151" s="16"/>
      <c r="X151" s="16"/>
      <c r="Y151" s="16"/>
      <c r="Z151" s="16"/>
      <c r="AA151" s="16"/>
      <c r="AB151" s="45"/>
    </row>
    <row r="152" spans="1:28" ht="22" customHeight="1">
      <c r="A152" s="87"/>
      <c r="B152" s="216"/>
      <c r="C152" s="216"/>
      <c r="D152" s="69"/>
      <c r="E152" s="126"/>
      <c r="F152" s="211"/>
      <c r="G152" s="126"/>
      <c r="H152" s="43"/>
      <c r="I152" s="118"/>
      <c r="J152" s="118"/>
      <c r="K152" s="130"/>
      <c r="L152" s="191"/>
      <c r="M152" s="116"/>
      <c r="N152" s="119"/>
      <c r="O152" s="42" t="s">
        <v>20</v>
      </c>
      <c r="P152" s="15"/>
      <c r="Q152" s="15"/>
      <c r="R152" s="15"/>
      <c r="S152" s="15"/>
      <c r="T152" s="15"/>
      <c r="U152" s="15"/>
      <c r="V152" s="15"/>
      <c r="W152" s="15"/>
      <c r="X152" s="15"/>
      <c r="Y152" s="15"/>
      <c r="Z152" s="15"/>
      <c r="AA152" s="15"/>
      <c r="AB152" s="44"/>
    </row>
    <row r="153" spans="1:28" ht="22" customHeight="1">
      <c r="A153" s="87"/>
      <c r="B153" s="216"/>
      <c r="C153" s="216"/>
      <c r="D153" s="67"/>
      <c r="E153" s="125" t="s">
        <v>227</v>
      </c>
      <c r="F153" s="210" t="s">
        <v>407</v>
      </c>
      <c r="G153" s="125" t="s">
        <v>405</v>
      </c>
      <c r="H153" s="41"/>
      <c r="I153" s="118"/>
      <c r="J153" s="118"/>
      <c r="K153" s="130"/>
      <c r="L153" s="191"/>
      <c r="M153" s="116"/>
      <c r="N153" s="119"/>
      <c r="O153" s="42" t="s">
        <v>18</v>
      </c>
      <c r="P153" s="53"/>
      <c r="Q153" s="53"/>
      <c r="R153" s="16"/>
      <c r="S153" s="16"/>
      <c r="T153" s="16"/>
      <c r="U153" s="16"/>
      <c r="V153" s="16"/>
      <c r="W153" s="16"/>
      <c r="X153" s="16"/>
      <c r="Y153" s="16"/>
      <c r="Z153" s="16"/>
      <c r="AA153" s="16"/>
      <c r="AB153" s="45"/>
    </row>
    <row r="154" spans="1:28" ht="22" customHeight="1">
      <c r="A154" s="87"/>
      <c r="B154" s="216"/>
      <c r="C154" s="216"/>
      <c r="D154" s="69"/>
      <c r="E154" s="126"/>
      <c r="F154" s="211"/>
      <c r="G154" s="126"/>
      <c r="H154" s="43"/>
      <c r="I154" s="118"/>
      <c r="J154" s="118"/>
      <c r="K154" s="130"/>
      <c r="L154" s="191"/>
      <c r="M154" s="116"/>
      <c r="N154" s="119"/>
      <c r="O154" s="42" t="s">
        <v>20</v>
      </c>
      <c r="P154" s="15"/>
      <c r="Q154" s="15"/>
      <c r="R154" s="15"/>
      <c r="S154" s="15"/>
      <c r="T154" s="15"/>
      <c r="U154" s="15"/>
      <c r="V154" s="15"/>
      <c r="W154" s="15"/>
      <c r="X154" s="15"/>
      <c r="Y154" s="15"/>
      <c r="Z154" s="15"/>
      <c r="AA154" s="15"/>
      <c r="AB154" s="44"/>
    </row>
    <row r="155" spans="1:28" ht="22" customHeight="1">
      <c r="A155" s="87"/>
      <c r="B155" s="222" t="s">
        <v>196</v>
      </c>
      <c r="C155" s="222"/>
      <c r="D155" s="67"/>
      <c r="E155" s="125" t="s">
        <v>96</v>
      </c>
      <c r="F155" s="210" t="s">
        <v>408</v>
      </c>
      <c r="G155" s="125" t="s">
        <v>409</v>
      </c>
      <c r="H155" s="41" t="s">
        <v>48</v>
      </c>
      <c r="I155" s="118" t="s">
        <v>15</v>
      </c>
      <c r="J155" s="118" t="s">
        <v>30</v>
      </c>
      <c r="K155" s="130" t="s">
        <v>28</v>
      </c>
      <c r="L155" s="191"/>
      <c r="M155" s="116"/>
      <c r="N155" s="119"/>
      <c r="O155" s="42" t="s">
        <v>18</v>
      </c>
      <c r="P155" s="53"/>
      <c r="Q155" s="53"/>
      <c r="R155" s="16"/>
      <c r="S155" s="16"/>
      <c r="T155" s="16"/>
      <c r="U155" s="16"/>
      <c r="V155" s="16"/>
      <c r="W155" s="16"/>
      <c r="X155" s="16"/>
      <c r="Y155" s="16"/>
      <c r="Z155" s="16"/>
      <c r="AA155" s="16"/>
      <c r="AB155" s="45"/>
    </row>
    <row r="156" spans="1:28" ht="22" customHeight="1">
      <c r="A156" s="87"/>
      <c r="B156" s="222"/>
      <c r="C156" s="222"/>
      <c r="D156" s="69"/>
      <c r="E156" s="126"/>
      <c r="F156" s="211"/>
      <c r="G156" s="126"/>
      <c r="H156" s="43" t="s">
        <v>35</v>
      </c>
      <c r="I156" s="118"/>
      <c r="J156" s="118"/>
      <c r="K156" s="130"/>
      <c r="L156" s="191"/>
      <c r="M156" s="116"/>
      <c r="N156" s="119"/>
      <c r="O156" s="42" t="s">
        <v>20</v>
      </c>
      <c r="P156" s="15"/>
      <c r="Q156" s="15"/>
      <c r="R156" s="15"/>
      <c r="S156" s="15"/>
      <c r="T156" s="15"/>
      <c r="U156" s="15"/>
      <c r="V156" s="15"/>
      <c r="W156" s="15"/>
      <c r="X156" s="15"/>
      <c r="Y156" s="15"/>
      <c r="Z156" s="15"/>
      <c r="AA156" s="15"/>
      <c r="AB156" s="44"/>
    </row>
    <row r="157" spans="1:28" ht="22" customHeight="1">
      <c r="A157" s="87"/>
      <c r="B157" s="222"/>
      <c r="C157" s="222"/>
      <c r="D157" s="67"/>
      <c r="E157" s="125" t="s">
        <v>256</v>
      </c>
      <c r="F157" s="210" t="s">
        <v>410</v>
      </c>
      <c r="G157" s="125" t="s">
        <v>411</v>
      </c>
      <c r="H157" s="41" t="s">
        <v>48</v>
      </c>
      <c r="I157" s="118" t="s">
        <v>15</v>
      </c>
      <c r="J157" s="118" t="s">
        <v>30</v>
      </c>
      <c r="K157" s="130" t="s">
        <v>28</v>
      </c>
      <c r="L157" s="191"/>
      <c r="M157" s="116"/>
      <c r="N157" s="119"/>
      <c r="O157" s="42" t="s">
        <v>18</v>
      </c>
      <c r="P157" s="53"/>
      <c r="Q157" s="53"/>
      <c r="R157" s="16"/>
      <c r="S157" s="16"/>
      <c r="T157" s="16"/>
      <c r="U157" s="16"/>
      <c r="V157" s="16"/>
      <c r="W157" s="16"/>
      <c r="X157" s="16"/>
      <c r="Y157" s="16"/>
      <c r="Z157" s="16"/>
      <c r="AA157" s="16"/>
      <c r="AB157" s="45"/>
    </row>
    <row r="158" spans="1:28" ht="22" customHeight="1">
      <c r="A158" s="87"/>
      <c r="B158" s="222"/>
      <c r="C158" s="222"/>
      <c r="D158" s="69"/>
      <c r="E158" s="126"/>
      <c r="F158" s="211"/>
      <c r="G158" s="126"/>
      <c r="H158" s="43" t="s">
        <v>35</v>
      </c>
      <c r="I158" s="118"/>
      <c r="J158" s="118"/>
      <c r="K158" s="130"/>
      <c r="L158" s="191"/>
      <c r="M158" s="116"/>
      <c r="N158" s="119"/>
      <c r="O158" s="42" t="s">
        <v>20</v>
      </c>
      <c r="P158" s="15"/>
      <c r="Q158" s="15"/>
      <c r="R158" s="15"/>
      <c r="S158" s="15"/>
      <c r="T158" s="15"/>
      <c r="U158" s="15"/>
      <c r="V158" s="15"/>
      <c r="W158" s="15"/>
      <c r="X158" s="15"/>
      <c r="Y158" s="15"/>
      <c r="Z158" s="15"/>
      <c r="AA158" s="15"/>
      <c r="AB158" s="44"/>
    </row>
    <row r="159" spans="1:28" ht="22" customHeight="1">
      <c r="A159" s="87"/>
      <c r="B159" s="222"/>
      <c r="C159" s="222"/>
      <c r="D159" s="67"/>
      <c r="E159" s="125" t="s">
        <v>97</v>
      </c>
      <c r="F159" s="210" t="s">
        <v>412</v>
      </c>
      <c r="G159" s="125" t="s">
        <v>413</v>
      </c>
      <c r="H159" s="41" t="s">
        <v>29</v>
      </c>
      <c r="I159" s="118" t="s">
        <v>15</v>
      </c>
      <c r="J159" s="118" t="s">
        <v>16</v>
      </c>
      <c r="K159" s="130" t="s">
        <v>28</v>
      </c>
      <c r="L159" s="191"/>
      <c r="M159" s="116"/>
      <c r="N159" s="119"/>
      <c r="O159" s="42" t="s">
        <v>18</v>
      </c>
      <c r="P159" s="53"/>
      <c r="Q159" s="53"/>
      <c r="R159" s="16"/>
      <c r="S159" s="16"/>
      <c r="T159" s="16"/>
      <c r="U159" s="16"/>
      <c r="V159" s="16"/>
      <c r="W159" s="16"/>
      <c r="X159" s="16"/>
      <c r="Y159" s="16"/>
      <c r="Z159" s="16"/>
      <c r="AA159" s="16"/>
      <c r="AB159" s="45"/>
    </row>
    <row r="160" spans="1:28" ht="22" customHeight="1">
      <c r="A160" s="87"/>
      <c r="B160" s="222"/>
      <c r="C160" s="222"/>
      <c r="D160" s="69"/>
      <c r="E160" s="126"/>
      <c r="F160" s="211"/>
      <c r="G160" s="126"/>
      <c r="H160" s="43" t="s">
        <v>43</v>
      </c>
      <c r="I160" s="118"/>
      <c r="J160" s="118"/>
      <c r="K160" s="130"/>
      <c r="L160" s="191"/>
      <c r="M160" s="116"/>
      <c r="N160" s="119"/>
      <c r="O160" s="42" t="s">
        <v>20</v>
      </c>
      <c r="P160" s="15"/>
      <c r="Q160" s="15"/>
      <c r="R160" s="15"/>
      <c r="S160" s="15"/>
      <c r="T160" s="15"/>
      <c r="U160" s="15"/>
      <c r="V160" s="15"/>
      <c r="W160" s="15"/>
      <c r="X160" s="15"/>
      <c r="Y160" s="15"/>
      <c r="Z160" s="15"/>
      <c r="AA160" s="15"/>
      <c r="AB160" s="44"/>
    </row>
    <row r="161" spans="1:28" ht="22" customHeight="1">
      <c r="A161" s="87"/>
      <c r="B161" s="222"/>
      <c r="C161" s="222"/>
      <c r="D161" s="67"/>
      <c r="E161" s="125" t="s">
        <v>122</v>
      </c>
      <c r="F161" s="210" t="s">
        <v>414</v>
      </c>
      <c r="G161" s="125" t="s">
        <v>415</v>
      </c>
      <c r="H161" s="41" t="s">
        <v>29</v>
      </c>
      <c r="I161" s="118" t="s">
        <v>50</v>
      </c>
      <c r="J161" s="118" t="s">
        <v>30</v>
      </c>
      <c r="K161" s="130" t="s">
        <v>28</v>
      </c>
      <c r="L161" s="191"/>
      <c r="M161" s="116"/>
      <c r="N161" s="119"/>
      <c r="O161" s="42" t="s">
        <v>18</v>
      </c>
      <c r="P161" s="53"/>
      <c r="Q161" s="53"/>
      <c r="R161" s="16"/>
      <c r="S161" s="16"/>
      <c r="T161" s="16"/>
      <c r="U161" s="16"/>
      <c r="V161" s="16"/>
      <c r="W161" s="16"/>
      <c r="X161" s="16"/>
      <c r="Y161" s="16"/>
      <c r="Z161" s="16"/>
      <c r="AA161" s="16"/>
      <c r="AB161" s="45"/>
    </row>
    <row r="162" spans="1:28" ht="22" customHeight="1">
      <c r="A162" s="87"/>
      <c r="B162" s="222"/>
      <c r="C162" s="222"/>
      <c r="D162" s="69"/>
      <c r="E162" s="126"/>
      <c r="F162" s="211"/>
      <c r="G162" s="126"/>
      <c r="H162" s="43" t="s">
        <v>38</v>
      </c>
      <c r="I162" s="118"/>
      <c r="J162" s="118"/>
      <c r="K162" s="130"/>
      <c r="L162" s="191"/>
      <c r="M162" s="116"/>
      <c r="N162" s="119"/>
      <c r="O162" s="42" t="s">
        <v>20</v>
      </c>
      <c r="P162" s="15"/>
      <c r="Q162" s="15"/>
      <c r="R162" s="15"/>
      <c r="S162" s="15"/>
      <c r="T162" s="15"/>
      <c r="U162" s="15"/>
      <c r="V162" s="15"/>
      <c r="W162" s="15"/>
      <c r="X162" s="15"/>
      <c r="Y162" s="15"/>
      <c r="Z162" s="15"/>
      <c r="AA162" s="15"/>
      <c r="AB162" s="44"/>
    </row>
    <row r="163" spans="1:28" ht="22" customHeight="1">
      <c r="A163" s="87"/>
      <c r="B163" s="219" t="s">
        <v>197</v>
      </c>
      <c r="C163" s="219"/>
      <c r="D163" s="67"/>
      <c r="E163" s="201" t="s">
        <v>237</v>
      </c>
      <c r="F163" s="210" t="s">
        <v>427</v>
      </c>
      <c r="G163" s="125" t="s">
        <v>416</v>
      </c>
      <c r="H163" s="41" t="s">
        <v>23</v>
      </c>
      <c r="I163" s="118" t="s">
        <v>15</v>
      </c>
      <c r="J163" s="118" t="s">
        <v>30</v>
      </c>
      <c r="K163" s="130" t="s">
        <v>53</v>
      </c>
      <c r="L163" s="220"/>
      <c r="M163" s="116"/>
      <c r="N163" s="119"/>
      <c r="O163" s="42" t="s">
        <v>18</v>
      </c>
      <c r="P163" s="53"/>
      <c r="Q163" s="53"/>
      <c r="R163" s="16"/>
      <c r="S163" s="16"/>
      <c r="T163" s="16"/>
      <c r="U163" s="16"/>
      <c r="V163" s="16"/>
      <c r="W163" s="16"/>
      <c r="X163" s="16"/>
      <c r="Y163" s="16"/>
      <c r="Z163" s="16"/>
      <c r="AA163" s="16"/>
      <c r="AB163" s="45"/>
    </row>
    <row r="164" spans="1:28" ht="22" customHeight="1">
      <c r="A164" s="87"/>
      <c r="B164" s="219"/>
      <c r="C164" s="219"/>
      <c r="D164" s="69"/>
      <c r="E164" s="202"/>
      <c r="F164" s="211"/>
      <c r="G164" s="126"/>
      <c r="H164" s="43" t="s">
        <v>24</v>
      </c>
      <c r="I164" s="118"/>
      <c r="J164" s="118"/>
      <c r="K164" s="130"/>
      <c r="L164" s="220"/>
      <c r="M164" s="116"/>
      <c r="N164" s="119"/>
      <c r="O164" s="42" t="s">
        <v>20</v>
      </c>
      <c r="P164" s="15"/>
      <c r="Q164" s="15"/>
      <c r="R164" s="15"/>
      <c r="S164" s="15"/>
      <c r="T164" s="15"/>
      <c r="U164" s="15"/>
      <c r="V164" s="15"/>
      <c r="W164" s="15"/>
      <c r="X164" s="15"/>
      <c r="Y164" s="15"/>
      <c r="Z164" s="15"/>
      <c r="AA164" s="15"/>
      <c r="AB164" s="44"/>
    </row>
    <row r="165" spans="1:28" ht="22" customHeight="1">
      <c r="A165" s="87"/>
      <c r="B165" s="219"/>
      <c r="C165" s="219"/>
      <c r="D165" s="67"/>
      <c r="E165" s="201" t="s">
        <v>238</v>
      </c>
      <c r="F165" s="210" t="s">
        <v>428</v>
      </c>
      <c r="G165" s="125" t="s">
        <v>417</v>
      </c>
      <c r="H165" s="41" t="s">
        <v>23</v>
      </c>
      <c r="I165" s="118" t="s">
        <v>15</v>
      </c>
      <c r="J165" s="118" t="s">
        <v>30</v>
      </c>
      <c r="K165" s="130" t="s">
        <v>53</v>
      </c>
      <c r="L165" s="221"/>
      <c r="M165" s="116"/>
      <c r="N165" s="119"/>
      <c r="O165" s="42" t="s">
        <v>18</v>
      </c>
      <c r="P165" s="53"/>
      <c r="Q165" s="53"/>
      <c r="R165" s="16"/>
      <c r="S165" s="16"/>
      <c r="T165" s="16"/>
      <c r="U165" s="16"/>
      <c r="V165" s="16"/>
      <c r="W165" s="16"/>
      <c r="X165" s="16"/>
      <c r="Y165" s="16"/>
      <c r="Z165" s="16"/>
      <c r="AA165" s="16"/>
      <c r="AB165" s="45"/>
    </row>
    <row r="166" spans="1:28" ht="22" customHeight="1">
      <c r="A166" s="87"/>
      <c r="B166" s="219"/>
      <c r="C166" s="219"/>
      <c r="D166" s="69"/>
      <c r="E166" s="202"/>
      <c r="F166" s="211"/>
      <c r="G166" s="126"/>
      <c r="H166" s="43" t="s">
        <v>24</v>
      </c>
      <c r="I166" s="118"/>
      <c r="J166" s="118"/>
      <c r="K166" s="130"/>
      <c r="L166" s="221"/>
      <c r="M166" s="116"/>
      <c r="N166" s="119"/>
      <c r="O166" s="42" t="s">
        <v>20</v>
      </c>
      <c r="P166" s="15"/>
      <c r="Q166" s="15"/>
      <c r="R166" s="15"/>
      <c r="S166" s="15"/>
      <c r="T166" s="15"/>
      <c r="U166" s="15"/>
      <c r="V166" s="15"/>
      <c r="W166" s="15"/>
      <c r="X166" s="15"/>
      <c r="Y166" s="15"/>
      <c r="Z166" s="15"/>
      <c r="AA166" s="15"/>
      <c r="AB166" s="44"/>
    </row>
    <row r="167" spans="1:28" ht="22" customHeight="1">
      <c r="A167" s="87"/>
      <c r="B167" s="219"/>
      <c r="C167" s="219"/>
      <c r="D167" s="68"/>
      <c r="E167" s="201" t="s">
        <v>253</v>
      </c>
      <c r="F167" s="210" t="s">
        <v>429</v>
      </c>
      <c r="G167" s="125" t="s">
        <v>418</v>
      </c>
      <c r="H167" s="41" t="s">
        <v>23</v>
      </c>
      <c r="I167" s="118" t="s">
        <v>15</v>
      </c>
      <c r="J167" s="118" t="s">
        <v>30</v>
      </c>
      <c r="K167" s="130" t="s">
        <v>53</v>
      </c>
      <c r="L167" s="220"/>
      <c r="M167" s="116"/>
      <c r="N167" s="119"/>
      <c r="O167" s="42" t="s">
        <v>18</v>
      </c>
      <c r="P167" s="15"/>
      <c r="Q167" s="15"/>
      <c r="R167" s="15"/>
      <c r="S167" s="15"/>
      <c r="T167" s="15"/>
      <c r="U167" s="15"/>
      <c r="V167" s="15"/>
      <c r="W167" s="15"/>
      <c r="X167" s="15"/>
      <c r="Y167" s="15"/>
      <c r="Z167" s="15"/>
      <c r="AA167" s="15"/>
      <c r="AB167" s="44"/>
    </row>
    <row r="168" spans="1:28" ht="22" customHeight="1">
      <c r="A168" s="87"/>
      <c r="B168" s="219"/>
      <c r="C168" s="219"/>
      <c r="D168" s="68"/>
      <c r="E168" s="202"/>
      <c r="F168" s="211"/>
      <c r="G168" s="126"/>
      <c r="H168" s="43" t="s">
        <v>43</v>
      </c>
      <c r="I168" s="118"/>
      <c r="J168" s="118"/>
      <c r="K168" s="130"/>
      <c r="L168" s="220"/>
      <c r="M168" s="116"/>
      <c r="N168" s="119"/>
      <c r="O168" s="42" t="s">
        <v>20</v>
      </c>
      <c r="P168" s="15"/>
      <c r="Q168" s="15"/>
      <c r="R168" s="15"/>
      <c r="S168" s="15"/>
      <c r="T168" s="15"/>
      <c r="U168" s="15"/>
      <c r="V168" s="15"/>
      <c r="W168" s="15"/>
      <c r="X168" s="15"/>
      <c r="Y168" s="15"/>
      <c r="Z168" s="15"/>
      <c r="AA168" s="15"/>
      <c r="AB168" s="44"/>
    </row>
    <row r="169" spans="1:28" ht="22" customHeight="1">
      <c r="A169" s="87"/>
      <c r="B169" s="219"/>
      <c r="C169" s="219"/>
      <c r="D169" s="67"/>
      <c r="E169" s="201" t="s">
        <v>254</v>
      </c>
      <c r="F169" s="210" t="s">
        <v>430</v>
      </c>
      <c r="G169" s="125" t="s">
        <v>419</v>
      </c>
      <c r="H169" s="41" t="s">
        <v>23</v>
      </c>
      <c r="I169" s="118" t="s">
        <v>15</v>
      </c>
      <c r="J169" s="118" t="s">
        <v>30</v>
      </c>
      <c r="K169" s="130" t="s">
        <v>53</v>
      </c>
      <c r="L169" s="221"/>
      <c r="M169" s="116"/>
      <c r="N169" s="119"/>
      <c r="O169" s="42" t="s">
        <v>18</v>
      </c>
      <c r="P169" s="53"/>
      <c r="Q169" s="53"/>
      <c r="R169" s="16"/>
      <c r="S169" s="16"/>
      <c r="T169" s="16"/>
      <c r="U169" s="16"/>
      <c r="V169" s="16"/>
      <c r="W169" s="16"/>
      <c r="X169" s="16"/>
      <c r="Y169" s="16"/>
      <c r="Z169" s="16"/>
      <c r="AA169" s="16"/>
      <c r="AB169" s="45"/>
    </row>
    <row r="170" spans="1:28" ht="22" customHeight="1">
      <c r="A170" s="87"/>
      <c r="B170" s="219"/>
      <c r="C170" s="219"/>
      <c r="D170" s="69"/>
      <c r="E170" s="202"/>
      <c r="F170" s="211"/>
      <c r="G170" s="126"/>
      <c r="H170" s="43" t="s">
        <v>43</v>
      </c>
      <c r="I170" s="118"/>
      <c r="J170" s="118"/>
      <c r="K170" s="130"/>
      <c r="L170" s="221"/>
      <c r="M170" s="116"/>
      <c r="N170" s="119"/>
      <c r="O170" s="42" t="s">
        <v>20</v>
      </c>
      <c r="P170" s="15"/>
      <c r="Q170" s="15"/>
      <c r="R170" s="15"/>
      <c r="S170" s="15"/>
      <c r="T170" s="15"/>
      <c r="U170" s="15"/>
      <c r="V170" s="15"/>
      <c r="W170" s="15"/>
      <c r="X170" s="15"/>
      <c r="Y170" s="15"/>
      <c r="Z170" s="15"/>
      <c r="AA170" s="15"/>
      <c r="AB170" s="44"/>
    </row>
    <row r="171" spans="1:28" ht="22" customHeight="1">
      <c r="A171" s="87"/>
      <c r="B171" s="219"/>
      <c r="C171" s="219"/>
      <c r="D171" s="68"/>
      <c r="E171" s="201" t="s">
        <v>136</v>
      </c>
      <c r="F171" s="210" t="s">
        <v>431</v>
      </c>
      <c r="G171" s="125" t="s">
        <v>420</v>
      </c>
      <c r="H171" s="41" t="s">
        <v>34</v>
      </c>
      <c r="I171" s="118" t="s">
        <v>15</v>
      </c>
      <c r="J171" s="118" t="s">
        <v>16</v>
      </c>
      <c r="K171" s="130" t="s">
        <v>53</v>
      </c>
      <c r="L171" s="117"/>
      <c r="M171" s="116"/>
      <c r="N171" s="119"/>
      <c r="O171" s="42" t="s">
        <v>18</v>
      </c>
      <c r="P171" s="53"/>
      <c r="Q171" s="53"/>
      <c r="R171" s="16"/>
      <c r="S171" s="16"/>
      <c r="T171" s="16"/>
      <c r="U171" s="16"/>
      <c r="V171" s="16"/>
      <c r="W171" s="16"/>
      <c r="X171" s="16"/>
      <c r="Y171" s="16"/>
      <c r="Z171" s="16"/>
      <c r="AA171" s="16"/>
      <c r="AB171" s="45"/>
    </row>
    <row r="172" spans="1:28" ht="22" customHeight="1">
      <c r="A172" s="87"/>
      <c r="B172" s="219"/>
      <c r="C172" s="219"/>
      <c r="D172" s="68"/>
      <c r="E172" s="202"/>
      <c r="F172" s="211"/>
      <c r="G172" s="126"/>
      <c r="H172" s="43" t="s">
        <v>38</v>
      </c>
      <c r="I172" s="118"/>
      <c r="J172" s="118"/>
      <c r="K172" s="130"/>
      <c r="L172" s="117"/>
      <c r="M172" s="116"/>
      <c r="N172" s="119"/>
      <c r="O172" s="42" t="s">
        <v>20</v>
      </c>
      <c r="P172" s="15"/>
      <c r="Q172" s="15"/>
      <c r="R172" s="15"/>
      <c r="S172" s="15"/>
      <c r="T172" s="15"/>
      <c r="U172" s="15"/>
      <c r="V172" s="15"/>
      <c r="W172" s="15"/>
      <c r="X172" s="15"/>
      <c r="Y172" s="15"/>
      <c r="Z172" s="15"/>
      <c r="AA172" s="15"/>
      <c r="AB172" s="44"/>
    </row>
    <row r="173" spans="1:28" ht="22" customHeight="1">
      <c r="A173" s="87"/>
      <c r="B173" s="219"/>
      <c r="C173" s="219"/>
      <c r="D173" s="67"/>
      <c r="E173" s="201" t="s">
        <v>137</v>
      </c>
      <c r="F173" s="210" t="s">
        <v>432</v>
      </c>
      <c r="G173" s="125" t="s">
        <v>421</v>
      </c>
      <c r="H173" s="41" t="s">
        <v>34</v>
      </c>
      <c r="I173" s="118" t="s">
        <v>15</v>
      </c>
      <c r="J173" s="118" t="s">
        <v>16</v>
      </c>
      <c r="K173" s="130" t="s">
        <v>53</v>
      </c>
      <c r="L173" s="117"/>
      <c r="M173" s="116"/>
      <c r="N173" s="119"/>
      <c r="O173" s="42" t="s">
        <v>18</v>
      </c>
      <c r="P173" s="15"/>
      <c r="Q173" s="15"/>
      <c r="R173" s="15"/>
      <c r="S173" s="15"/>
      <c r="T173" s="15"/>
      <c r="U173" s="15"/>
      <c r="V173" s="15"/>
      <c r="W173" s="15"/>
      <c r="X173" s="15"/>
      <c r="Y173" s="15"/>
      <c r="Z173" s="15"/>
      <c r="AA173" s="15"/>
      <c r="AB173" s="44"/>
    </row>
    <row r="174" spans="1:28" ht="22" customHeight="1">
      <c r="A174" s="87"/>
      <c r="B174" s="219"/>
      <c r="C174" s="219"/>
      <c r="D174" s="69"/>
      <c r="E174" s="202"/>
      <c r="F174" s="211"/>
      <c r="G174" s="126"/>
      <c r="H174" s="43" t="s">
        <v>38</v>
      </c>
      <c r="I174" s="118"/>
      <c r="J174" s="118"/>
      <c r="K174" s="130"/>
      <c r="L174" s="117"/>
      <c r="M174" s="116"/>
      <c r="N174" s="119"/>
      <c r="O174" s="42" t="s">
        <v>20</v>
      </c>
      <c r="P174" s="15"/>
      <c r="Q174" s="15"/>
      <c r="R174" s="15"/>
      <c r="S174" s="15"/>
      <c r="T174" s="15"/>
      <c r="U174" s="15"/>
      <c r="V174" s="15"/>
      <c r="W174" s="15"/>
      <c r="X174" s="15"/>
      <c r="Y174" s="15"/>
      <c r="Z174" s="15"/>
      <c r="AA174" s="15"/>
      <c r="AB174" s="44"/>
    </row>
    <row r="175" spans="1:28" ht="22" customHeight="1">
      <c r="A175" s="87"/>
      <c r="B175" s="219"/>
      <c r="C175" s="219"/>
      <c r="D175" s="67"/>
      <c r="E175" s="89" t="s">
        <v>188</v>
      </c>
      <c r="F175" s="210" t="s">
        <v>433</v>
      </c>
      <c r="G175" s="125" t="s">
        <v>422</v>
      </c>
      <c r="H175" s="41" t="s">
        <v>14</v>
      </c>
      <c r="I175" s="78" t="s">
        <v>15</v>
      </c>
      <c r="J175" s="78" t="s">
        <v>16</v>
      </c>
      <c r="K175" s="54" t="s">
        <v>53</v>
      </c>
      <c r="L175" s="83"/>
      <c r="M175" s="79"/>
      <c r="N175" s="82"/>
      <c r="O175" s="42" t="s">
        <v>18</v>
      </c>
      <c r="P175" s="53"/>
      <c r="Q175" s="53"/>
      <c r="R175" s="16"/>
      <c r="S175" s="16"/>
      <c r="T175" s="16"/>
      <c r="U175" s="16"/>
      <c r="V175" s="16"/>
      <c r="W175" s="16"/>
      <c r="X175" s="16"/>
      <c r="Y175" s="16"/>
      <c r="Z175" s="16"/>
      <c r="AA175" s="16"/>
      <c r="AB175" s="45"/>
    </row>
    <row r="176" spans="1:28" ht="22" customHeight="1">
      <c r="A176" s="87"/>
      <c r="B176" s="219"/>
      <c r="C176" s="219"/>
      <c r="D176" s="69"/>
      <c r="E176" s="90"/>
      <c r="F176" s="211"/>
      <c r="G176" s="126"/>
      <c r="H176" s="43" t="s">
        <v>38</v>
      </c>
      <c r="I176" s="78"/>
      <c r="J176" s="78"/>
      <c r="K176" s="54"/>
      <c r="L176" s="83"/>
      <c r="M176" s="79"/>
      <c r="N176" s="82"/>
      <c r="O176" s="42" t="s">
        <v>20</v>
      </c>
      <c r="P176" s="15"/>
      <c r="Q176" s="15"/>
      <c r="R176" s="15"/>
      <c r="S176" s="15"/>
      <c r="T176" s="15"/>
      <c r="U176" s="15"/>
      <c r="V176" s="15"/>
      <c r="W176" s="15"/>
      <c r="X176" s="15"/>
      <c r="Y176" s="15"/>
      <c r="Z176" s="15"/>
      <c r="AA176" s="15"/>
      <c r="AB176" s="44"/>
    </row>
    <row r="177" spans="1:28" ht="22" customHeight="1">
      <c r="A177" s="87"/>
      <c r="B177" s="219"/>
      <c r="C177" s="219"/>
      <c r="D177" s="68"/>
      <c r="E177" s="89" t="s">
        <v>239</v>
      </c>
      <c r="F177" s="210" t="s">
        <v>434</v>
      </c>
      <c r="G177" s="125" t="s">
        <v>423</v>
      </c>
      <c r="H177" s="41" t="s">
        <v>34</v>
      </c>
      <c r="I177" s="78" t="s">
        <v>15</v>
      </c>
      <c r="J177" s="78" t="s">
        <v>16</v>
      </c>
      <c r="K177" s="54" t="s">
        <v>53</v>
      </c>
      <c r="L177" s="83"/>
      <c r="M177" s="79"/>
      <c r="N177" s="82"/>
      <c r="O177" s="42" t="s">
        <v>18</v>
      </c>
      <c r="P177" s="53"/>
      <c r="Q177" s="53"/>
      <c r="R177" s="16"/>
      <c r="S177" s="16"/>
      <c r="T177" s="16"/>
      <c r="U177" s="16"/>
      <c r="V177" s="16"/>
      <c r="W177" s="16"/>
      <c r="X177" s="16"/>
      <c r="Y177" s="16"/>
      <c r="Z177" s="16"/>
      <c r="AA177" s="16"/>
      <c r="AB177" s="45"/>
    </row>
    <row r="178" spans="1:28" ht="22" customHeight="1">
      <c r="A178" s="87"/>
      <c r="B178" s="219"/>
      <c r="C178" s="219"/>
      <c r="D178" s="68"/>
      <c r="E178" s="90"/>
      <c r="F178" s="211"/>
      <c r="G178" s="126"/>
      <c r="H178" s="43" t="s">
        <v>35</v>
      </c>
      <c r="I178" s="78"/>
      <c r="J178" s="78"/>
      <c r="K178" s="54"/>
      <c r="L178" s="83"/>
      <c r="M178" s="79"/>
      <c r="N178" s="82"/>
      <c r="O178" s="42" t="s">
        <v>20</v>
      </c>
      <c r="P178" s="15"/>
      <c r="Q178" s="15"/>
      <c r="R178" s="15"/>
      <c r="S178" s="15"/>
      <c r="T178" s="15"/>
      <c r="U178" s="15"/>
      <c r="V178" s="15"/>
      <c r="W178" s="15"/>
      <c r="X178" s="15"/>
      <c r="Y178" s="15"/>
      <c r="Z178" s="15"/>
      <c r="AA178" s="15"/>
      <c r="AB178" s="44"/>
    </row>
    <row r="179" spans="1:28" ht="22" customHeight="1">
      <c r="A179" s="87"/>
      <c r="B179" s="219"/>
      <c r="C179" s="219"/>
      <c r="D179" s="67"/>
      <c r="E179" s="89" t="s">
        <v>234</v>
      </c>
      <c r="F179" s="210" t="s">
        <v>435</v>
      </c>
      <c r="G179" s="125" t="s">
        <v>424</v>
      </c>
      <c r="H179" s="41" t="s">
        <v>34</v>
      </c>
      <c r="I179" s="78" t="s">
        <v>15</v>
      </c>
      <c r="J179" s="78" t="s">
        <v>16</v>
      </c>
      <c r="K179" s="54" t="s">
        <v>53</v>
      </c>
      <c r="L179" s="83"/>
      <c r="M179" s="79"/>
      <c r="N179" s="82"/>
      <c r="O179" s="42" t="s">
        <v>18</v>
      </c>
      <c r="P179" s="53"/>
      <c r="Q179" s="53"/>
      <c r="R179" s="16"/>
      <c r="S179" s="16"/>
      <c r="T179" s="16"/>
      <c r="U179" s="16"/>
      <c r="V179" s="16"/>
      <c r="W179" s="16"/>
      <c r="X179" s="16"/>
      <c r="Y179" s="16"/>
      <c r="Z179" s="16"/>
      <c r="AA179" s="16"/>
      <c r="AB179" s="45"/>
    </row>
    <row r="180" spans="1:28" ht="22" customHeight="1">
      <c r="A180" s="87"/>
      <c r="B180" s="219"/>
      <c r="C180" s="219"/>
      <c r="D180" s="69"/>
      <c r="E180" s="90"/>
      <c r="F180" s="211"/>
      <c r="G180" s="126"/>
      <c r="H180" s="43" t="s">
        <v>115</v>
      </c>
      <c r="I180" s="78"/>
      <c r="J180" s="78"/>
      <c r="K180" s="54"/>
      <c r="L180" s="83"/>
      <c r="M180" s="79"/>
      <c r="N180" s="82"/>
      <c r="O180" s="42" t="s">
        <v>20</v>
      </c>
      <c r="P180" s="15"/>
      <c r="Q180" s="15"/>
      <c r="R180" s="15"/>
      <c r="S180" s="15"/>
      <c r="T180" s="15"/>
      <c r="U180" s="15"/>
      <c r="V180" s="15"/>
      <c r="W180" s="15"/>
      <c r="X180" s="15"/>
      <c r="Y180" s="15"/>
      <c r="Z180" s="15"/>
      <c r="AA180" s="15"/>
      <c r="AB180" s="44"/>
    </row>
    <row r="181" spans="1:28" ht="22" customHeight="1">
      <c r="A181" s="87"/>
      <c r="B181" s="219"/>
      <c r="C181" s="219"/>
      <c r="D181" s="67"/>
      <c r="E181" s="89" t="s">
        <v>235</v>
      </c>
      <c r="F181" s="210" t="s">
        <v>436</v>
      </c>
      <c r="G181" s="125" t="s">
        <v>425</v>
      </c>
      <c r="H181" s="41" t="s">
        <v>23</v>
      </c>
      <c r="I181" s="78" t="s">
        <v>15</v>
      </c>
      <c r="J181" s="78" t="s">
        <v>30</v>
      </c>
      <c r="K181" s="54" t="s">
        <v>53</v>
      </c>
      <c r="L181" s="84"/>
      <c r="M181" s="79"/>
      <c r="N181" s="82"/>
      <c r="O181" s="42" t="s">
        <v>18</v>
      </c>
      <c r="P181" s="53"/>
      <c r="Q181" s="53"/>
      <c r="R181" s="16"/>
      <c r="S181" s="16"/>
      <c r="T181" s="16"/>
      <c r="U181" s="16"/>
      <c r="V181" s="16"/>
      <c r="W181" s="16"/>
      <c r="X181" s="16"/>
      <c r="Y181" s="16"/>
      <c r="Z181" s="16"/>
      <c r="AA181" s="16"/>
      <c r="AB181" s="45"/>
    </row>
    <row r="182" spans="1:28" ht="22" customHeight="1">
      <c r="A182" s="87"/>
      <c r="B182" s="219"/>
      <c r="C182" s="219"/>
      <c r="D182" s="69"/>
      <c r="E182" s="90"/>
      <c r="F182" s="211"/>
      <c r="G182" s="126"/>
      <c r="H182" s="43" t="s">
        <v>43</v>
      </c>
      <c r="I182" s="78"/>
      <c r="J182" s="78"/>
      <c r="K182" s="54"/>
      <c r="L182" s="84"/>
      <c r="M182" s="79"/>
      <c r="N182" s="82"/>
      <c r="O182" s="42" t="s">
        <v>20</v>
      </c>
      <c r="P182" s="15"/>
      <c r="Q182" s="15"/>
      <c r="R182" s="15"/>
      <c r="S182" s="15"/>
      <c r="T182" s="15"/>
      <c r="U182" s="15"/>
      <c r="V182" s="15"/>
      <c r="W182" s="15"/>
      <c r="X182" s="15"/>
      <c r="Y182" s="15"/>
      <c r="Z182" s="15"/>
      <c r="AA182" s="15"/>
      <c r="AB182" s="44"/>
    </row>
    <row r="183" spans="1:28" ht="22" customHeight="1">
      <c r="A183" s="87"/>
      <c r="B183" s="219"/>
      <c r="C183" s="219"/>
      <c r="D183" s="67"/>
      <c r="E183" s="89" t="s">
        <v>236</v>
      </c>
      <c r="F183" s="210" t="s">
        <v>437</v>
      </c>
      <c r="G183" s="125" t="s">
        <v>426</v>
      </c>
      <c r="H183" s="41"/>
      <c r="I183" s="78"/>
      <c r="J183" s="78"/>
      <c r="K183" s="54" t="s">
        <v>28</v>
      </c>
      <c r="L183" s="83"/>
      <c r="M183" s="79"/>
      <c r="N183" s="82"/>
      <c r="O183" s="42" t="s">
        <v>18</v>
      </c>
      <c r="P183" s="53"/>
      <c r="Q183" s="53"/>
      <c r="R183" s="16"/>
      <c r="S183" s="16"/>
      <c r="T183" s="16"/>
      <c r="U183" s="16"/>
      <c r="V183" s="16"/>
      <c r="W183" s="16"/>
      <c r="X183" s="16"/>
      <c r="Y183" s="16"/>
      <c r="Z183" s="16"/>
      <c r="AA183" s="16"/>
      <c r="AB183" s="45"/>
    </row>
    <row r="184" spans="1:28" ht="22" customHeight="1">
      <c r="A184" s="87"/>
      <c r="B184" s="219"/>
      <c r="C184" s="219"/>
      <c r="D184" s="69"/>
      <c r="E184" s="90"/>
      <c r="F184" s="211"/>
      <c r="G184" s="126"/>
      <c r="H184" s="43"/>
      <c r="I184" s="78"/>
      <c r="J184" s="78"/>
      <c r="K184" s="54"/>
      <c r="L184" s="83"/>
      <c r="M184" s="79"/>
      <c r="N184" s="82"/>
      <c r="O184" s="42" t="s">
        <v>20</v>
      </c>
      <c r="P184" s="15"/>
      <c r="Q184" s="15"/>
      <c r="R184" s="15"/>
      <c r="S184" s="15"/>
      <c r="T184" s="15"/>
      <c r="U184" s="15"/>
      <c r="V184" s="15"/>
      <c r="W184" s="15"/>
      <c r="X184" s="15"/>
      <c r="Y184" s="15"/>
      <c r="Z184" s="15"/>
      <c r="AA184" s="15"/>
      <c r="AB184" s="44"/>
    </row>
    <row r="185" spans="1:28" ht="22" customHeight="1">
      <c r="A185" s="87"/>
      <c r="B185" s="223" t="s">
        <v>198</v>
      </c>
      <c r="C185" s="223"/>
      <c r="D185" s="67"/>
      <c r="E185" s="113" t="s">
        <v>134</v>
      </c>
      <c r="F185" s="210" t="s">
        <v>438</v>
      </c>
      <c r="G185" s="125" t="s">
        <v>439</v>
      </c>
      <c r="H185" s="47" t="s">
        <v>23</v>
      </c>
      <c r="I185" s="208" t="s">
        <v>15</v>
      </c>
      <c r="J185" s="131" t="s">
        <v>30</v>
      </c>
      <c r="K185" s="54"/>
      <c r="L185" s="117"/>
      <c r="M185" s="116"/>
      <c r="N185" s="119"/>
      <c r="O185" s="42" t="s">
        <v>18</v>
      </c>
      <c r="P185" s="53"/>
      <c r="Q185" s="53"/>
      <c r="R185" s="16"/>
      <c r="S185" s="16"/>
      <c r="T185" s="16"/>
      <c r="U185" s="16"/>
      <c r="V185" s="16"/>
      <c r="W185" s="16"/>
      <c r="X185" s="16"/>
      <c r="Y185" s="16"/>
      <c r="Z185" s="16"/>
      <c r="AA185" s="16"/>
      <c r="AB185" s="45"/>
    </row>
    <row r="186" spans="1:28" ht="22" customHeight="1">
      <c r="A186" s="87"/>
      <c r="B186" s="223"/>
      <c r="C186" s="223"/>
      <c r="D186" s="69"/>
      <c r="E186" s="173"/>
      <c r="F186" s="211"/>
      <c r="G186" s="126"/>
      <c r="H186" s="47" t="s">
        <v>38</v>
      </c>
      <c r="I186" s="208"/>
      <c r="J186" s="134"/>
      <c r="K186" s="54"/>
      <c r="L186" s="117"/>
      <c r="M186" s="116"/>
      <c r="N186" s="119"/>
      <c r="O186" s="42" t="s">
        <v>20</v>
      </c>
      <c r="P186" s="15"/>
      <c r="Q186" s="15"/>
      <c r="R186" s="15"/>
      <c r="S186" s="15"/>
      <c r="T186" s="15"/>
      <c r="U186" s="15"/>
      <c r="V186" s="15"/>
      <c r="W186" s="15"/>
      <c r="X186" s="15"/>
      <c r="Y186" s="15"/>
      <c r="Z186" s="15"/>
      <c r="AA186" s="15"/>
      <c r="AB186" s="44"/>
    </row>
    <row r="187" spans="1:28" ht="22" customHeight="1">
      <c r="A187" s="87"/>
      <c r="B187" s="223"/>
      <c r="C187" s="223"/>
      <c r="D187" s="67"/>
      <c r="E187" s="113" t="s">
        <v>176</v>
      </c>
      <c r="F187" s="210" t="s">
        <v>440</v>
      </c>
      <c r="G187" s="125" t="s">
        <v>441</v>
      </c>
      <c r="H187" s="47" t="s">
        <v>23</v>
      </c>
      <c r="I187" s="208" t="s">
        <v>15</v>
      </c>
      <c r="J187" s="131" t="s">
        <v>30</v>
      </c>
      <c r="K187" s="54"/>
      <c r="L187" s="117"/>
      <c r="M187" s="116"/>
      <c r="N187" s="119"/>
      <c r="O187" s="42" t="s">
        <v>18</v>
      </c>
      <c r="P187" s="53"/>
      <c r="Q187" s="53"/>
      <c r="R187" s="16"/>
      <c r="S187" s="16"/>
      <c r="T187" s="16"/>
      <c r="U187" s="16"/>
      <c r="V187" s="16"/>
      <c r="W187" s="16"/>
      <c r="X187" s="16"/>
      <c r="Y187" s="16"/>
      <c r="Z187" s="16"/>
      <c r="AA187" s="16"/>
      <c r="AB187" s="45"/>
    </row>
    <row r="188" spans="1:28" ht="22" customHeight="1">
      <c r="A188" s="87"/>
      <c r="B188" s="223"/>
      <c r="C188" s="223"/>
      <c r="D188" s="69"/>
      <c r="E188" s="173"/>
      <c r="F188" s="211"/>
      <c r="G188" s="126"/>
      <c r="H188" s="47" t="s">
        <v>38</v>
      </c>
      <c r="I188" s="208"/>
      <c r="J188" s="134"/>
      <c r="K188" s="54"/>
      <c r="L188" s="117"/>
      <c r="M188" s="116"/>
      <c r="N188" s="119"/>
      <c r="O188" s="42" t="s">
        <v>20</v>
      </c>
      <c r="P188" s="15"/>
      <c r="Q188" s="15"/>
      <c r="R188" s="15"/>
      <c r="S188" s="15"/>
      <c r="T188" s="15"/>
      <c r="U188" s="15"/>
      <c r="V188" s="15"/>
      <c r="W188" s="15"/>
      <c r="X188" s="15"/>
      <c r="Y188" s="15"/>
      <c r="Z188" s="15"/>
      <c r="AA188" s="15"/>
      <c r="AB188" s="44"/>
    </row>
    <row r="189" spans="1:28" ht="22" customHeight="1">
      <c r="A189" s="87"/>
      <c r="B189" s="223"/>
      <c r="C189" s="223"/>
      <c r="D189" s="68"/>
      <c r="E189" s="113" t="s">
        <v>135</v>
      </c>
      <c r="F189" s="210" t="s">
        <v>442</v>
      </c>
      <c r="G189" s="125" t="s">
        <v>443</v>
      </c>
      <c r="H189" s="47" t="s">
        <v>23</v>
      </c>
      <c r="I189" s="208" t="s">
        <v>15</v>
      </c>
      <c r="J189" s="131" t="s">
        <v>30</v>
      </c>
      <c r="K189" s="54"/>
      <c r="L189" s="117"/>
      <c r="M189" s="116"/>
      <c r="N189" s="119"/>
      <c r="O189" s="42" t="s">
        <v>18</v>
      </c>
      <c r="P189" s="15"/>
      <c r="Q189" s="15"/>
      <c r="R189" s="15"/>
      <c r="S189" s="15"/>
      <c r="T189" s="15"/>
      <c r="U189" s="15"/>
      <c r="V189" s="15"/>
      <c r="W189" s="15"/>
      <c r="X189" s="15"/>
      <c r="Y189" s="15"/>
      <c r="Z189" s="15"/>
      <c r="AA189" s="15"/>
      <c r="AB189" s="44"/>
    </row>
    <row r="190" spans="1:28" ht="22" customHeight="1">
      <c r="A190" s="87"/>
      <c r="B190" s="223"/>
      <c r="C190" s="223"/>
      <c r="D190" s="68"/>
      <c r="E190" s="173"/>
      <c r="F190" s="211"/>
      <c r="G190" s="126"/>
      <c r="H190" s="47" t="s">
        <v>38</v>
      </c>
      <c r="I190" s="208"/>
      <c r="J190" s="134"/>
      <c r="K190" s="54"/>
      <c r="L190" s="117"/>
      <c r="M190" s="116"/>
      <c r="N190" s="119"/>
      <c r="O190" s="42" t="s">
        <v>20</v>
      </c>
      <c r="P190" s="15"/>
      <c r="Q190" s="15"/>
      <c r="R190" s="15"/>
      <c r="S190" s="15"/>
      <c r="T190" s="15"/>
      <c r="U190" s="15"/>
      <c r="V190" s="15"/>
      <c r="W190" s="15"/>
      <c r="X190" s="15"/>
      <c r="Y190" s="15"/>
      <c r="Z190" s="15"/>
      <c r="AA190" s="15"/>
      <c r="AB190" s="44"/>
    </row>
    <row r="191" spans="1:28" ht="22" customHeight="1">
      <c r="A191" s="87"/>
      <c r="B191" s="223"/>
      <c r="C191" s="223"/>
      <c r="D191" s="67"/>
      <c r="E191" s="201" t="s">
        <v>27</v>
      </c>
      <c r="F191" s="210" t="s">
        <v>444</v>
      </c>
      <c r="G191" s="125" t="s">
        <v>445</v>
      </c>
      <c r="H191" s="46" t="s">
        <v>25</v>
      </c>
      <c r="I191" s="118" t="s">
        <v>15</v>
      </c>
      <c r="J191" s="118" t="s">
        <v>16</v>
      </c>
      <c r="K191" s="130" t="s">
        <v>17</v>
      </c>
      <c r="L191" s="117"/>
      <c r="M191" s="116"/>
      <c r="N191" s="119"/>
      <c r="O191" s="42" t="s">
        <v>18</v>
      </c>
      <c r="P191" s="53"/>
      <c r="Q191" s="53"/>
      <c r="R191" s="16"/>
      <c r="S191" s="16"/>
      <c r="T191" s="16"/>
      <c r="U191" s="16"/>
      <c r="V191" s="16"/>
      <c r="W191" s="16"/>
      <c r="X191" s="16"/>
      <c r="Y191" s="16"/>
      <c r="Z191" s="16"/>
      <c r="AA191" s="16"/>
      <c r="AB191" s="45"/>
    </row>
    <row r="192" spans="1:28" ht="22" customHeight="1">
      <c r="A192" s="87"/>
      <c r="B192" s="223"/>
      <c r="C192" s="223"/>
      <c r="D192" s="69"/>
      <c r="E192" s="202"/>
      <c r="F192" s="211"/>
      <c r="G192" s="126"/>
      <c r="H192" s="47" t="s">
        <v>19</v>
      </c>
      <c r="I192" s="118"/>
      <c r="J192" s="118"/>
      <c r="K192" s="130"/>
      <c r="L192" s="117"/>
      <c r="M192" s="116"/>
      <c r="N192" s="119"/>
      <c r="O192" s="42" t="s">
        <v>20</v>
      </c>
      <c r="P192" s="15"/>
      <c r="Q192" s="15"/>
      <c r="R192" s="15"/>
      <c r="S192" s="15"/>
      <c r="T192" s="15"/>
      <c r="U192" s="15"/>
      <c r="V192" s="15"/>
      <c r="W192" s="15"/>
      <c r="X192" s="15"/>
      <c r="Y192" s="15"/>
      <c r="Z192" s="15"/>
      <c r="AA192" s="15"/>
      <c r="AB192" s="44"/>
    </row>
    <row r="193" spans="1:28" ht="22" customHeight="1">
      <c r="A193" s="87"/>
      <c r="B193" s="223"/>
      <c r="C193" s="223"/>
      <c r="D193" s="67"/>
      <c r="E193" s="201" t="s">
        <v>212</v>
      </c>
      <c r="F193" s="210" t="s">
        <v>446</v>
      </c>
      <c r="G193" s="125" t="s">
        <v>447</v>
      </c>
      <c r="H193" s="46" t="s">
        <v>23</v>
      </c>
      <c r="I193" s="118" t="s">
        <v>15</v>
      </c>
      <c r="J193" s="118" t="s">
        <v>16</v>
      </c>
      <c r="K193" s="130"/>
      <c r="L193" s="117"/>
      <c r="M193" s="116"/>
      <c r="N193" s="119"/>
      <c r="O193" s="42" t="s">
        <v>18</v>
      </c>
      <c r="P193" s="53"/>
      <c r="Q193" s="53"/>
      <c r="R193" s="16"/>
      <c r="S193" s="16"/>
      <c r="T193" s="16"/>
      <c r="U193" s="16"/>
      <c r="V193" s="16"/>
      <c r="W193" s="16"/>
      <c r="X193" s="16"/>
      <c r="Y193" s="16"/>
      <c r="Z193" s="16"/>
      <c r="AA193" s="16"/>
      <c r="AB193" s="45"/>
    </row>
    <row r="194" spans="1:28" ht="22" customHeight="1">
      <c r="A194" s="87"/>
      <c r="B194" s="223"/>
      <c r="C194" s="223"/>
      <c r="D194" s="69"/>
      <c r="E194" s="202"/>
      <c r="F194" s="211"/>
      <c r="G194" s="126"/>
      <c r="H194" s="47" t="s">
        <v>19</v>
      </c>
      <c r="I194" s="118"/>
      <c r="J194" s="118"/>
      <c r="K194" s="130"/>
      <c r="L194" s="117"/>
      <c r="M194" s="116"/>
      <c r="N194" s="119"/>
      <c r="O194" s="42" t="s">
        <v>20</v>
      </c>
      <c r="P194" s="15"/>
      <c r="Q194" s="15"/>
      <c r="R194" s="15"/>
      <c r="S194" s="15"/>
      <c r="T194" s="15"/>
      <c r="U194" s="15"/>
      <c r="V194" s="15"/>
      <c r="W194" s="15"/>
      <c r="X194" s="15"/>
      <c r="Y194" s="15"/>
      <c r="Z194" s="15"/>
      <c r="AA194" s="15"/>
      <c r="AB194" s="44"/>
    </row>
    <row r="195" spans="1:28" ht="22" customHeight="1">
      <c r="A195" s="87"/>
      <c r="B195" s="223"/>
      <c r="C195" s="223"/>
      <c r="D195" s="67"/>
      <c r="E195" s="201" t="s">
        <v>76</v>
      </c>
      <c r="F195" s="210" t="s">
        <v>448</v>
      </c>
      <c r="G195" s="125" t="s">
        <v>449</v>
      </c>
      <c r="H195" s="46" t="s">
        <v>25</v>
      </c>
      <c r="I195" s="118" t="s">
        <v>15</v>
      </c>
      <c r="J195" s="118" t="s">
        <v>16</v>
      </c>
      <c r="K195" s="130"/>
      <c r="L195" s="117"/>
      <c r="M195" s="116"/>
      <c r="N195" s="119"/>
      <c r="O195" s="42" t="s">
        <v>18</v>
      </c>
      <c r="P195" s="53"/>
      <c r="Q195" s="53"/>
      <c r="R195" s="16"/>
      <c r="S195" s="16"/>
      <c r="T195" s="16"/>
      <c r="U195" s="16"/>
      <c r="V195" s="16"/>
      <c r="W195" s="16"/>
      <c r="X195" s="16"/>
      <c r="Y195" s="16"/>
      <c r="Z195" s="16"/>
      <c r="AA195" s="16"/>
      <c r="AB195" s="45"/>
    </row>
    <row r="196" spans="1:28" ht="22" customHeight="1">
      <c r="A196" s="87"/>
      <c r="B196" s="223"/>
      <c r="C196" s="223"/>
      <c r="D196" s="69"/>
      <c r="E196" s="202"/>
      <c r="F196" s="211"/>
      <c r="G196" s="126"/>
      <c r="H196" s="47" t="s">
        <v>19</v>
      </c>
      <c r="I196" s="118"/>
      <c r="J196" s="118"/>
      <c r="K196" s="130"/>
      <c r="L196" s="117"/>
      <c r="M196" s="116"/>
      <c r="N196" s="119"/>
      <c r="O196" s="42" t="s">
        <v>20</v>
      </c>
      <c r="P196" s="15"/>
      <c r="Q196" s="15"/>
      <c r="R196" s="15"/>
      <c r="S196" s="15"/>
      <c r="T196" s="15"/>
      <c r="U196" s="15"/>
      <c r="V196" s="15"/>
      <c r="W196" s="15"/>
      <c r="X196" s="15"/>
      <c r="Y196" s="15"/>
      <c r="Z196" s="15"/>
      <c r="AA196" s="15"/>
      <c r="AB196" s="44"/>
    </row>
    <row r="197" spans="1:28" ht="22" customHeight="1">
      <c r="A197" s="87"/>
      <c r="B197" s="223"/>
      <c r="C197" s="223"/>
      <c r="D197" s="67"/>
      <c r="E197" s="201" t="s">
        <v>213</v>
      </c>
      <c r="F197" s="210" t="s">
        <v>450</v>
      </c>
      <c r="G197" s="125" t="s">
        <v>451</v>
      </c>
      <c r="H197" s="46" t="s">
        <v>25</v>
      </c>
      <c r="I197" s="118" t="s">
        <v>15</v>
      </c>
      <c r="J197" s="118" t="s">
        <v>16</v>
      </c>
      <c r="K197" s="130"/>
      <c r="L197" s="117"/>
      <c r="M197" s="116"/>
      <c r="N197" s="119"/>
      <c r="O197" s="42" t="s">
        <v>18</v>
      </c>
      <c r="P197" s="53"/>
      <c r="Q197" s="53"/>
      <c r="R197" s="16"/>
      <c r="S197" s="16"/>
      <c r="T197" s="16"/>
      <c r="U197" s="16"/>
      <c r="V197" s="16"/>
      <c r="W197" s="16"/>
      <c r="X197" s="16"/>
      <c r="Y197" s="16"/>
      <c r="Z197" s="16"/>
      <c r="AA197" s="16"/>
      <c r="AB197" s="45"/>
    </row>
    <row r="198" spans="1:28" ht="22" customHeight="1">
      <c r="A198" s="87"/>
      <c r="B198" s="223"/>
      <c r="C198" s="223"/>
      <c r="D198" s="69"/>
      <c r="E198" s="202"/>
      <c r="F198" s="211"/>
      <c r="G198" s="126"/>
      <c r="H198" s="47" t="s">
        <v>19</v>
      </c>
      <c r="I198" s="118"/>
      <c r="J198" s="118"/>
      <c r="K198" s="130"/>
      <c r="L198" s="117"/>
      <c r="M198" s="116"/>
      <c r="N198" s="119"/>
      <c r="O198" s="42" t="s">
        <v>20</v>
      </c>
      <c r="P198" s="15"/>
      <c r="Q198" s="15"/>
      <c r="R198" s="15"/>
      <c r="S198" s="15"/>
      <c r="T198" s="15"/>
      <c r="U198" s="15"/>
      <c r="V198" s="15"/>
      <c r="W198" s="15"/>
      <c r="X198" s="15"/>
      <c r="Y198" s="15"/>
      <c r="Z198" s="15"/>
      <c r="AA198" s="15"/>
      <c r="AB198" s="44"/>
    </row>
    <row r="199" spans="1:28" ht="22" customHeight="1">
      <c r="A199" s="87"/>
      <c r="B199" s="223"/>
      <c r="C199" s="223"/>
      <c r="D199" s="67"/>
      <c r="E199" s="201" t="s">
        <v>214</v>
      </c>
      <c r="F199" s="210" t="s">
        <v>452</v>
      </c>
      <c r="G199" s="125" t="s">
        <v>453</v>
      </c>
      <c r="H199" s="46" t="s">
        <v>25</v>
      </c>
      <c r="I199" s="118" t="s">
        <v>15</v>
      </c>
      <c r="J199" s="118" t="s">
        <v>16</v>
      </c>
      <c r="K199" s="130"/>
      <c r="L199" s="117"/>
      <c r="M199" s="116"/>
      <c r="N199" s="119"/>
      <c r="O199" s="42" t="s">
        <v>18</v>
      </c>
      <c r="P199" s="53"/>
      <c r="Q199" s="53"/>
      <c r="R199" s="16"/>
      <c r="S199" s="16"/>
      <c r="T199" s="16"/>
      <c r="U199" s="16"/>
      <c r="V199" s="16"/>
      <c r="W199" s="16"/>
      <c r="X199" s="16"/>
      <c r="Y199" s="16"/>
      <c r="Z199" s="16"/>
      <c r="AA199" s="16"/>
      <c r="AB199" s="45"/>
    </row>
    <row r="200" spans="1:28" ht="22" customHeight="1">
      <c r="A200" s="87"/>
      <c r="B200" s="223"/>
      <c r="C200" s="223"/>
      <c r="D200" s="69"/>
      <c r="E200" s="202"/>
      <c r="F200" s="211"/>
      <c r="G200" s="126"/>
      <c r="H200" s="47" t="s">
        <v>19</v>
      </c>
      <c r="I200" s="118"/>
      <c r="J200" s="118"/>
      <c r="K200" s="130"/>
      <c r="L200" s="117"/>
      <c r="M200" s="116"/>
      <c r="N200" s="119"/>
      <c r="O200" s="42" t="s">
        <v>20</v>
      </c>
      <c r="P200" s="15"/>
      <c r="Q200" s="15"/>
      <c r="R200" s="15"/>
      <c r="S200" s="15"/>
      <c r="T200" s="15"/>
      <c r="U200" s="15"/>
      <c r="V200" s="15"/>
      <c r="W200" s="15"/>
      <c r="X200" s="15"/>
      <c r="Y200" s="15"/>
      <c r="Z200" s="15"/>
      <c r="AA200" s="15"/>
      <c r="AB200" s="44"/>
    </row>
    <row r="201" spans="1:28" ht="22" customHeight="1">
      <c r="A201" s="87"/>
      <c r="B201" s="223"/>
      <c r="C201" s="223"/>
      <c r="D201" s="67"/>
      <c r="E201" s="201" t="s">
        <v>215</v>
      </c>
      <c r="F201" s="210" t="s">
        <v>454</v>
      </c>
      <c r="G201" s="125" t="s">
        <v>455</v>
      </c>
      <c r="H201" s="46" t="s">
        <v>23</v>
      </c>
      <c r="I201" s="118" t="s">
        <v>15</v>
      </c>
      <c r="J201" s="118" t="s">
        <v>16</v>
      </c>
      <c r="K201" s="130"/>
      <c r="L201" s="117"/>
      <c r="M201" s="116"/>
      <c r="N201" s="119"/>
      <c r="O201" s="42" t="s">
        <v>18</v>
      </c>
      <c r="P201" s="53"/>
      <c r="Q201" s="53"/>
      <c r="R201" s="16"/>
      <c r="S201" s="16"/>
      <c r="T201" s="16"/>
      <c r="U201" s="16"/>
      <c r="V201" s="16"/>
      <c r="W201" s="16"/>
      <c r="X201" s="16"/>
      <c r="Y201" s="16"/>
      <c r="Z201" s="16"/>
      <c r="AA201" s="16"/>
      <c r="AB201" s="45"/>
    </row>
    <row r="202" spans="1:28" ht="22" customHeight="1">
      <c r="A202" s="87"/>
      <c r="B202" s="223"/>
      <c r="C202" s="223"/>
      <c r="D202" s="69"/>
      <c r="E202" s="202"/>
      <c r="F202" s="211"/>
      <c r="G202" s="126"/>
      <c r="H202" s="47" t="s">
        <v>19</v>
      </c>
      <c r="I202" s="118"/>
      <c r="J202" s="118"/>
      <c r="K202" s="130"/>
      <c r="L202" s="117"/>
      <c r="M202" s="116"/>
      <c r="N202" s="119"/>
      <c r="O202" s="42" t="s">
        <v>20</v>
      </c>
      <c r="P202" s="15"/>
      <c r="Q202" s="15"/>
      <c r="R202" s="15"/>
      <c r="S202" s="15"/>
      <c r="T202" s="15"/>
      <c r="U202" s="15"/>
      <c r="V202" s="15"/>
      <c r="W202" s="15"/>
      <c r="X202" s="15"/>
      <c r="Y202" s="15"/>
      <c r="Z202" s="15"/>
      <c r="AA202" s="15"/>
      <c r="AB202" s="44"/>
    </row>
    <row r="203" spans="1:28" ht="22" customHeight="1">
      <c r="A203" s="87"/>
      <c r="B203" s="223"/>
      <c r="C203" s="223"/>
      <c r="D203" s="67"/>
      <c r="E203" s="201" t="s">
        <v>216</v>
      </c>
      <c r="F203" s="210" t="s">
        <v>456</v>
      </c>
      <c r="G203" s="125" t="s">
        <v>457</v>
      </c>
      <c r="H203" s="46" t="s">
        <v>25</v>
      </c>
      <c r="I203" s="118" t="s">
        <v>15</v>
      </c>
      <c r="J203" s="118" t="s">
        <v>16</v>
      </c>
      <c r="K203" s="130"/>
      <c r="L203" s="117"/>
      <c r="M203" s="116"/>
      <c r="N203" s="119"/>
      <c r="O203" s="42" t="s">
        <v>18</v>
      </c>
      <c r="P203" s="53"/>
      <c r="Q203" s="53"/>
      <c r="R203" s="16"/>
      <c r="S203" s="16"/>
      <c r="T203" s="16"/>
      <c r="U203" s="16"/>
      <c r="V203" s="16"/>
      <c r="W203" s="16"/>
      <c r="X203" s="16"/>
      <c r="Y203" s="16"/>
      <c r="Z203" s="16"/>
      <c r="AA203" s="16"/>
      <c r="AB203" s="45"/>
    </row>
    <row r="204" spans="1:28" ht="22" customHeight="1">
      <c r="A204" s="87"/>
      <c r="B204" s="223"/>
      <c r="C204" s="223"/>
      <c r="D204" s="69"/>
      <c r="E204" s="202"/>
      <c r="F204" s="211"/>
      <c r="G204" s="126"/>
      <c r="H204" s="47" t="s">
        <v>19</v>
      </c>
      <c r="I204" s="118"/>
      <c r="J204" s="118"/>
      <c r="K204" s="130"/>
      <c r="L204" s="117"/>
      <c r="M204" s="116"/>
      <c r="N204" s="119"/>
      <c r="O204" s="42" t="s">
        <v>20</v>
      </c>
      <c r="P204" s="15"/>
      <c r="Q204" s="15"/>
      <c r="R204" s="15"/>
      <c r="S204" s="15"/>
      <c r="T204" s="15"/>
      <c r="U204" s="15"/>
      <c r="V204" s="15"/>
      <c r="W204" s="15"/>
      <c r="X204" s="15"/>
      <c r="Y204" s="15"/>
      <c r="Z204" s="15"/>
      <c r="AA204" s="15"/>
      <c r="AB204" s="44"/>
    </row>
    <row r="205" spans="1:28" ht="22" customHeight="1">
      <c r="A205" s="87"/>
      <c r="B205" s="224" t="s">
        <v>199</v>
      </c>
      <c r="C205" s="224" t="s">
        <v>103</v>
      </c>
      <c r="D205" s="67"/>
      <c r="E205" s="113"/>
      <c r="F205" s="210"/>
      <c r="G205" s="125"/>
      <c r="H205" s="43"/>
      <c r="I205" s="131"/>
      <c r="J205" s="208"/>
      <c r="K205" s="54"/>
      <c r="L205" s="117"/>
      <c r="M205" s="116"/>
      <c r="N205" s="119"/>
      <c r="O205" s="42" t="s">
        <v>18</v>
      </c>
      <c r="P205" s="53"/>
      <c r="Q205" s="53"/>
      <c r="R205" s="16"/>
      <c r="S205" s="16"/>
      <c r="T205" s="16"/>
      <c r="U205" s="16"/>
      <c r="V205" s="16"/>
      <c r="W205" s="16"/>
      <c r="X205" s="16"/>
      <c r="Y205" s="16"/>
      <c r="Z205" s="16"/>
      <c r="AA205" s="16"/>
      <c r="AB205" s="45"/>
    </row>
    <row r="206" spans="1:28" ht="22" customHeight="1">
      <c r="A206" s="87"/>
      <c r="B206" s="224"/>
      <c r="C206" s="224"/>
      <c r="D206" s="69"/>
      <c r="E206" s="173"/>
      <c r="F206" s="211"/>
      <c r="G206" s="126"/>
      <c r="H206" s="43"/>
      <c r="I206" s="134"/>
      <c r="J206" s="208"/>
      <c r="K206" s="54"/>
      <c r="L206" s="117"/>
      <c r="M206" s="116"/>
      <c r="N206" s="119"/>
      <c r="O206" s="42" t="s">
        <v>20</v>
      </c>
      <c r="P206" s="15"/>
      <c r="Q206" s="15"/>
      <c r="R206" s="15"/>
      <c r="S206" s="15"/>
      <c r="T206" s="15"/>
      <c r="U206" s="15"/>
      <c r="V206" s="15"/>
      <c r="W206" s="15"/>
      <c r="X206" s="15"/>
      <c r="Y206" s="15"/>
      <c r="Z206" s="15"/>
      <c r="AA206" s="15"/>
      <c r="AB206" s="44"/>
    </row>
    <row r="207" spans="1:28" ht="22" customHeight="1">
      <c r="A207" s="87"/>
      <c r="B207" s="224"/>
      <c r="C207" s="224"/>
      <c r="D207" s="67"/>
      <c r="E207" s="113"/>
      <c r="F207" s="210"/>
      <c r="G207" s="125"/>
      <c r="H207" s="43"/>
      <c r="I207" s="131"/>
      <c r="J207" s="208"/>
      <c r="K207" s="54"/>
      <c r="L207" s="117"/>
      <c r="M207" s="116"/>
      <c r="N207" s="119"/>
      <c r="O207" s="42" t="s">
        <v>18</v>
      </c>
      <c r="P207" s="53"/>
      <c r="Q207" s="53"/>
      <c r="R207" s="16"/>
      <c r="S207" s="16"/>
      <c r="T207" s="16"/>
      <c r="U207" s="16"/>
      <c r="V207" s="16"/>
      <c r="W207" s="16"/>
      <c r="X207" s="16"/>
      <c r="Y207" s="16"/>
      <c r="Z207" s="16"/>
      <c r="AA207" s="16"/>
      <c r="AB207" s="45"/>
    </row>
    <row r="208" spans="1:28" ht="22" customHeight="1">
      <c r="A208" s="87"/>
      <c r="B208" s="224"/>
      <c r="C208" s="224"/>
      <c r="D208" s="69"/>
      <c r="E208" s="173"/>
      <c r="F208" s="211"/>
      <c r="G208" s="126"/>
      <c r="H208" s="43"/>
      <c r="I208" s="134"/>
      <c r="J208" s="208"/>
      <c r="K208" s="54"/>
      <c r="L208" s="117"/>
      <c r="M208" s="116"/>
      <c r="N208" s="119"/>
      <c r="O208" s="42" t="s">
        <v>20</v>
      </c>
      <c r="P208" s="15"/>
      <c r="Q208" s="15"/>
      <c r="R208" s="15"/>
      <c r="S208" s="15"/>
      <c r="T208" s="15"/>
      <c r="U208" s="15"/>
      <c r="V208" s="15"/>
      <c r="W208" s="15"/>
      <c r="X208" s="15"/>
      <c r="Y208" s="15"/>
      <c r="Z208" s="15"/>
      <c r="AA208" s="15"/>
      <c r="AB208" s="44"/>
    </row>
    <row r="209" spans="1:28" ht="22" customHeight="1">
      <c r="A209" s="87"/>
      <c r="B209" s="224"/>
      <c r="C209" s="224"/>
      <c r="D209" s="68"/>
      <c r="E209" s="113"/>
      <c r="F209" s="210"/>
      <c r="G209" s="125"/>
      <c r="H209" s="43"/>
      <c r="I209" s="131"/>
      <c r="J209" s="225"/>
      <c r="K209" s="54"/>
      <c r="L209" s="117"/>
      <c r="M209" s="116"/>
      <c r="N209" s="119"/>
      <c r="O209" s="42" t="s">
        <v>18</v>
      </c>
      <c r="P209" s="15"/>
      <c r="Q209" s="15"/>
      <c r="R209" s="15"/>
      <c r="S209" s="15"/>
      <c r="T209" s="15"/>
      <c r="U209" s="15"/>
      <c r="V209" s="15"/>
      <c r="W209" s="15"/>
      <c r="X209" s="15"/>
      <c r="Y209" s="15"/>
      <c r="Z209" s="15"/>
      <c r="AA209" s="15"/>
      <c r="AB209" s="44"/>
    </row>
    <row r="210" spans="1:28" ht="22" customHeight="1">
      <c r="A210" s="87"/>
      <c r="B210" s="224"/>
      <c r="C210" s="224"/>
      <c r="D210" s="68"/>
      <c r="E210" s="173"/>
      <c r="F210" s="211"/>
      <c r="G210" s="126"/>
      <c r="H210" s="43"/>
      <c r="I210" s="134"/>
      <c r="J210" s="226"/>
      <c r="K210" s="54"/>
      <c r="L210" s="117"/>
      <c r="M210" s="116"/>
      <c r="N210" s="119"/>
      <c r="O210" s="42" t="s">
        <v>20</v>
      </c>
      <c r="P210" s="15"/>
      <c r="Q210" s="15"/>
      <c r="R210" s="15"/>
      <c r="S210" s="15"/>
      <c r="T210" s="15"/>
      <c r="U210" s="15"/>
      <c r="V210" s="15"/>
      <c r="W210" s="15"/>
      <c r="X210" s="15"/>
      <c r="Y210" s="15"/>
      <c r="Z210" s="15"/>
      <c r="AA210" s="15"/>
      <c r="AB210" s="44"/>
    </row>
    <row r="211" spans="1:28" ht="22" customHeight="1">
      <c r="A211" s="87"/>
      <c r="B211" s="224"/>
      <c r="C211" s="224"/>
      <c r="D211" s="67"/>
      <c r="E211" s="113"/>
      <c r="F211" s="210"/>
      <c r="G211" s="125"/>
      <c r="H211" s="43"/>
      <c r="I211" s="131"/>
      <c r="J211" s="225"/>
      <c r="K211" s="54"/>
      <c r="L211" s="117"/>
      <c r="M211" s="116"/>
      <c r="N211" s="119"/>
      <c r="O211" s="42" t="s">
        <v>18</v>
      </c>
      <c r="P211" s="53"/>
      <c r="Q211" s="53"/>
      <c r="R211" s="16"/>
      <c r="S211" s="16"/>
      <c r="T211" s="16"/>
      <c r="U211" s="16"/>
      <c r="V211" s="16"/>
      <c r="W211" s="16"/>
      <c r="X211" s="16"/>
      <c r="Y211" s="16"/>
      <c r="Z211" s="16"/>
      <c r="AA211" s="16"/>
      <c r="AB211" s="45"/>
    </row>
    <row r="212" spans="1:28" ht="22" customHeight="1">
      <c r="A212" s="87"/>
      <c r="B212" s="224"/>
      <c r="C212" s="224"/>
      <c r="D212" s="69"/>
      <c r="E212" s="173"/>
      <c r="F212" s="211"/>
      <c r="G212" s="126"/>
      <c r="H212" s="43"/>
      <c r="I212" s="134"/>
      <c r="J212" s="226"/>
      <c r="K212" s="54"/>
      <c r="L212" s="117"/>
      <c r="M212" s="116"/>
      <c r="N212" s="119"/>
      <c r="O212" s="42" t="s">
        <v>20</v>
      </c>
      <c r="P212" s="15"/>
      <c r="Q212" s="15"/>
      <c r="R212" s="15"/>
      <c r="S212" s="15"/>
      <c r="T212" s="15"/>
      <c r="U212" s="15"/>
      <c r="V212" s="15"/>
      <c r="W212" s="15"/>
      <c r="X212" s="15"/>
      <c r="Y212" s="15"/>
      <c r="Z212" s="15"/>
      <c r="AA212" s="15"/>
      <c r="AB212" s="44"/>
    </row>
    <row r="213" spans="1:28" ht="22" customHeight="1">
      <c r="A213" s="87"/>
      <c r="B213" s="224"/>
      <c r="C213" s="224"/>
      <c r="D213" s="67"/>
      <c r="E213" s="229"/>
      <c r="F213" s="210"/>
      <c r="G213" s="125"/>
      <c r="H213" s="43"/>
      <c r="I213" s="131"/>
      <c r="J213" s="208"/>
      <c r="K213" s="54"/>
      <c r="L213" s="117"/>
      <c r="M213" s="116"/>
      <c r="N213" s="119"/>
      <c r="O213" s="42" t="s">
        <v>18</v>
      </c>
      <c r="P213" s="53"/>
      <c r="Q213" s="53"/>
      <c r="R213" s="16"/>
      <c r="S213" s="16"/>
      <c r="T213" s="16"/>
      <c r="U213" s="16"/>
      <c r="V213" s="16"/>
      <c r="W213" s="16"/>
      <c r="X213" s="16"/>
      <c r="Y213" s="16"/>
      <c r="Z213" s="16"/>
      <c r="AA213" s="16"/>
      <c r="AB213" s="45"/>
    </row>
    <row r="214" spans="1:28" ht="22" customHeight="1">
      <c r="A214" s="87"/>
      <c r="B214" s="224"/>
      <c r="C214" s="224"/>
      <c r="D214" s="69"/>
      <c r="E214" s="229"/>
      <c r="F214" s="211"/>
      <c r="G214" s="126"/>
      <c r="H214" s="43"/>
      <c r="I214" s="134"/>
      <c r="J214" s="208"/>
      <c r="K214" s="54"/>
      <c r="L214" s="117"/>
      <c r="M214" s="116"/>
      <c r="N214" s="119"/>
      <c r="O214" s="42" t="s">
        <v>20</v>
      </c>
      <c r="P214" s="15"/>
      <c r="Q214" s="15"/>
      <c r="R214" s="15"/>
      <c r="S214" s="15"/>
      <c r="T214" s="15"/>
      <c r="U214" s="15"/>
      <c r="V214" s="15"/>
      <c r="W214" s="15"/>
      <c r="X214" s="15"/>
      <c r="Y214" s="15"/>
      <c r="Z214" s="15"/>
      <c r="AA214" s="15"/>
      <c r="AB214" s="44"/>
    </row>
    <row r="215" spans="1:28" ht="22" customHeight="1">
      <c r="A215" s="87"/>
      <c r="B215" s="224"/>
      <c r="C215" s="224"/>
      <c r="D215" s="67"/>
      <c r="E215" s="113"/>
      <c r="F215" s="210"/>
      <c r="G215" s="125"/>
      <c r="H215" s="46"/>
      <c r="I215" s="118"/>
      <c r="J215" s="118"/>
      <c r="K215" s="130" t="s">
        <v>39</v>
      </c>
      <c r="L215" s="117"/>
      <c r="M215" s="116"/>
      <c r="N215" s="119"/>
      <c r="O215" s="42" t="s">
        <v>18</v>
      </c>
      <c r="P215" s="53"/>
      <c r="Q215" s="53"/>
      <c r="R215" s="16"/>
      <c r="S215" s="16"/>
      <c r="T215" s="16"/>
      <c r="U215" s="16"/>
      <c r="V215" s="16"/>
      <c r="W215" s="16"/>
      <c r="X215" s="16"/>
      <c r="Y215" s="16"/>
      <c r="Z215" s="16"/>
      <c r="AA215" s="16"/>
      <c r="AB215" s="45"/>
    </row>
    <row r="216" spans="1:28" ht="22" customHeight="1">
      <c r="A216" s="87"/>
      <c r="B216" s="224"/>
      <c r="C216" s="224"/>
      <c r="D216" s="69"/>
      <c r="E216" s="173"/>
      <c r="F216" s="211"/>
      <c r="G216" s="126"/>
      <c r="H216" s="47"/>
      <c r="I216" s="118"/>
      <c r="J216" s="118"/>
      <c r="K216" s="130"/>
      <c r="L216" s="117"/>
      <c r="M216" s="116"/>
      <c r="N216" s="119"/>
      <c r="O216" s="42" t="s">
        <v>20</v>
      </c>
      <c r="P216" s="15"/>
      <c r="Q216" s="15"/>
      <c r="R216" s="15"/>
      <c r="S216" s="15"/>
      <c r="T216" s="15"/>
      <c r="U216" s="15"/>
      <c r="V216" s="15"/>
      <c r="W216" s="15"/>
      <c r="X216" s="15"/>
      <c r="Y216" s="15"/>
      <c r="Z216" s="15"/>
      <c r="AA216" s="15"/>
      <c r="AB216" s="44"/>
    </row>
    <row r="217" spans="1:28" ht="22" customHeight="1">
      <c r="A217" s="87"/>
      <c r="B217" s="230" t="s">
        <v>37</v>
      </c>
      <c r="C217" s="230"/>
      <c r="D217" s="67"/>
      <c r="E217" s="125" t="s">
        <v>178</v>
      </c>
      <c r="F217" s="210" t="s">
        <v>458</v>
      </c>
      <c r="G217" s="125" t="s">
        <v>459</v>
      </c>
      <c r="H217" s="46" t="s">
        <v>29</v>
      </c>
      <c r="I217" s="118" t="s">
        <v>15</v>
      </c>
      <c r="J217" s="118" t="s">
        <v>16</v>
      </c>
      <c r="K217" s="146" t="s">
        <v>37</v>
      </c>
      <c r="L217" s="115"/>
      <c r="M217" s="116"/>
      <c r="N217" s="119"/>
      <c r="O217" s="42" t="s">
        <v>18</v>
      </c>
      <c r="P217" s="53"/>
      <c r="Q217" s="53"/>
      <c r="R217" s="16"/>
      <c r="S217" s="16"/>
      <c r="T217" s="16"/>
      <c r="U217" s="16"/>
      <c r="V217" s="16"/>
      <c r="W217" s="16"/>
      <c r="X217" s="16"/>
      <c r="Y217" s="16"/>
      <c r="Z217" s="16"/>
      <c r="AA217" s="16"/>
      <c r="AB217" s="45"/>
    </row>
    <row r="218" spans="1:28" ht="22" customHeight="1">
      <c r="A218" s="87"/>
      <c r="B218" s="230"/>
      <c r="C218" s="230"/>
      <c r="D218" s="69"/>
      <c r="E218" s="126"/>
      <c r="F218" s="211"/>
      <c r="G218" s="126"/>
      <c r="H218" s="43" t="s">
        <v>143</v>
      </c>
      <c r="I218" s="118"/>
      <c r="J218" s="118"/>
      <c r="K218" s="146"/>
      <c r="L218" s="115"/>
      <c r="M218" s="116"/>
      <c r="N218" s="119"/>
      <c r="O218" s="42" t="s">
        <v>20</v>
      </c>
      <c r="P218" s="15"/>
      <c r="Q218" s="15"/>
      <c r="R218" s="15"/>
      <c r="S218" s="15"/>
      <c r="T218" s="15"/>
      <c r="U218" s="15"/>
      <c r="V218" s="15"/>
      <c r="W218" s="15"/>
      <c r="X218" s="15"/>
      <c r="Y218" s="15"/>
      <c r="Z218" s="15"/>
      <c r="AA218" s="15"/>
      <c r="AB218" s="44"/>
    </row>
    <row r="219" spans="1:28" ht="22" customHeight="1">
      <c r="A219" s="87"/>
      <c r="B219" s="230"/>
      <c r="C219" s="230"/>
      <c r="D219" s="67"/>
      <c r="E219" s="139" t="s">
        <v>144</v>
      </c>
      <c r="F219" s="210" t="s">
        <v>460</v>
      </c>
      <c r="G219" s="125" t="s">
        <v>461</v>
      </c>
      <c r="H219" s="46" t="s">
        <v>29</v>
      </c>
      <c r="I219" s="118" t="s">
        <v>15</v>
      </c>
      <c r="J219" s="118" t="s">
        <v>30</v>
      </c>
      <c r="K219" s="146" t="s">
        <v>37</v>
      </c>
      <c r="L219" s="117"/>
      <c r="M219" s="116"/>
      <c r="N219" s="119"/>
      <c r="O219" s="42" t="s">
        <v>18</v>
      </c>
      <c r="P219" s="53"/>
      <c r="Q219" s="53"/>
      <c r="R219" s="16"/>
      <c r="S219" s="16"/>
      <c r="T219" s="16"/>
      <c r="U219" s="16"/>
      <c r="V219" s="16"/>
      <c r="W219" s="16"/>
      <c r="X219" s="16"/>
      <c r="Y219" s="16"/>
      <c r="Z219" s="16"/>
      <c r="AA219" s="16"/>
      <c r="AB219" s="45"/>
    </row>
    <row r="220" spans="1:28" ht="22" customHeight="1">
      <c r="A220" s="87"/>
      <c r="B220" s="230"/>
      <c r="C220" s="230"/>
      <c r="D220" s="69"/>
      <c r="E220" s="140"/>
      <c r="F220" s="211"/>
      <c r="G220" s="126"/>
      <c r="H220" s="47" t="s">
        <v>38</v>
      </c>
      <c r="I220" s="118"/>
      <c r="J220" s="118"/>
      <c r="K220" s="146"/>
      <c r="L220" s="117"/>
      <c r="M220" s="116"/>
      <c r="N220" s="119"/>
      <c r="O220" s="42" t="s">
        <v>20</v>
      </c>
      <c r="P220" s="15"/>
      <c r="Q220" s="15"/>
      <c r="R220" s="15"/>
      <c r="S220" s="15"/>
      <c r="T220" s="15"/>
      <c r="U220" s="15"/>
      <c r="V220" s="15"/>
      <c r="W220" s="15"/>
      <c r="X220" s="15"/>
      <c r="Y220" s="15"/>
      <c r="Z220" s="15"/>
      <c r="AA220" s="15"/>
      <c r="AB220" s="44"/>
    </row>
    <row r="221" spans="1:28" ht="22" customHeight="1">
      <c r="A221" s="87"/>
      <c r="B221" s="230"/>
      <c r="C221" s="230"/>
      <c r="D221" s="67"/>
      <c r="E221" s="139" t="s">
        <v>217</v>
      </c>
      <c r="F221" s="210" t="s">
        <v>462</v>
      </c>
      <c r="G221" s="125" t="s">
        <v>463</v>
      </c>
      <c r="H221" s="46" t="s">
        <v>29</v>
      </c>
      <c r="I221" s="118" t="s">
        <v>15</v>
      </c>
      <c r="J221" s="118" t="s">
        <v>30</v>
      </c>
      <c r="K221" s="146" t="s">
        <v>37</v>
      </c>
      <c r="L221" s="117"/>
      <c r="M221" s="116"/>
      <c r="N221" s="119"/>
      <c r="O221" s="42" t="s">
        <v>18</v>
      </c>
      <c r="P221" s="53"/>
      <c r="Q221" s="53"/>
      <c r="R221" s="16"/>
      <c r="S221" s="16"/>
      <c r="T221" s="16"/>
      <c r="U221" s="16"/>
      <c r="V221" s="16"/>
      <c r="W221" s="16"/>
      <c r="X221" s="16"/>
      <c r="Y221" s="16"/>
      <c r="Z221" s="16"/>
      <c r="AA221" s="16"/>
      <c r="AB221" s="45"/>
    </row>
    <row r="222" spans="1:28" ht="22" customHeight="1">
      <c r="A222" s="87"/>
      <c r="B222" s="230"/>
      <c r="C222" s="230"/>
      <c r="D222" s="69"/>
      <c r="E222" s="140"/>
      <c r="F222" s="211"/>
      <c r="G222" s="126"/>
      <c r="H222" s="47" t="s">
        <v>38</v>
      </c>
      <c r="I222" s="118"/>
      <c r="J222" s="118"/>
      <c r="K222" s="146"/>
      <c r="L222" s="117"/>
      <c r="M222" s="116"/>
      <c r="N222" s="119"/>
      <c r="O222" s="42" t="s">
        <v>20</v>
      </c>
      <c r="P222" s="15"/>
      <c r="Q222" s="15"/>
      <c r="R222" s="15"/>
      <c r="S222" s="15"/>
      <c r="T222" s="15"/>
      <c r="U222" s="15"/>
      <c r="V222" s="15"/>
      <c r="W222" s="15"/>
      <c r="X222" s="15"/>
      <c r="Y222" s="15"/>
      <c r="Z222" s="15"/>
      <c r="AA222" s="15"/>
      <c r="AB222" s="44"/>
    </row>
    <row r="223" spans="1:28" ht="22" customHeight="1">
      <c r="A223" s="87"/>
      <c r="B223" s="230"/>
      <c r="C223" s="230"/>
      <c r="D223" s="67"/>
      <c r="E223" s="139" t="s">
        <v>145</v>
      </c>
      <c r="F223" s="210" t="s">
        <v>464</v>
      </c>
      <c r="G223" s="125" t="s">
        <v>465</v>
      </c>
      <c r="H223" s="46" t="s">
        <v>23</v>
      </c>
      <c r="I223" s="118" t="s">
        <v>15</v>
      </c>
      <c r="J223" s="118" t="s">
        <v>30</v>
      </c>
      <c r="K223" s="146" t="s">
        <v>37</v>
      </c>
      <c r="L223" s="117"/>
      <c r="M223" s="116"/>
      <c r="N223" s="119"/>
      <c r="O223" s="42" t="s">
        <v>18</v>
      </c>
      <c r="P223" s="53"/>
      <c r="Q223" s="53"/>
      <c r="R223" s="16"/>
      <c r="S223" s="16"/>
      <c r="T223" s="16"/>
      <c r="U223" s="16"/>
      <c r="V223" s="16"/>
      <c r="W223" s="16"/>
      <c r="X223" s="16"/>
      <c r="Y223" s="16"/>
      <c r="Z223" s="16"/>
      <c r="AA223" s="16"/>
      <c r="AB223" s="45"/>
    </row>
    <row r="224" spans="1:28" ht="22" customHeight="1">
      <c r="A224" s="87"/>
      <c r="B224" s="230"/>
      <c r="C224" s="230"/>
      <c r="D224" s="69"/>
      <c r="E224" s="140"/>
      <c r="F224" s="211"/>
      <c r="G224" s="126"/>
      <c r="H224" s="47" t="s">
        <v>38</v>
      </c>
      <c r="I224" s="118"/>
      <c r="J224" s="118"/>
      <c r="K224" s="146"/>
      <c r="L224" s="117"/>
      <c r="M224" s="116"/>
      <c r="N224" s="119"/>
      <c r="O224" s="42" t="s">
        <v>20</v>
      </c>
      <c r="P224" s="15"/>
      <c r="Q224" s="15"/>
      <c r="R224" s="15"/>
      <c r="S224" s="15"/>
      <c r="T224" s="15"/>
      <c r="U224" s="15"/>
      <c r="V224" s="15"/>
      <c r="W224" s="15"/>
      <c r="X224" s="15"/>
      <c r="Y224" s="15"/>
      <c r="Z224" s="15"/>
      <c r="AA224" s="15"/>
      <c r="AB224" s="44"/>
    </row>
    <row r="225" spans="1:28" ht="22" customHeight="1">
      <c r="A225" s="87"/>
      <c r="B225" s="230"/>
      <c r="C225" s="230"/>
      <c r="D225" s="67"/>
      <c r="E225" s="139" t="s">
        <v>170</v>
      </c>
      <c r="F225" s="210" t="s">
        <v>466</v>
      </c>
      <c r="G225" s="125" t="s">
        <v>467</v>
      </c>
      <c r="H225" s="46" t="s">
        <v>34</v>
      </c>
      <c r="I225" s="118" t="s">
        <v>15</v>
      </c>
      <c r="J225" s="118" t="s">
        <v>30</v>
      </c>
      <c r="K225" s="146" t="s">
        <v>39</v>
      </c>
      <c r="L225" s="117"/>
      <c r="M225" s="116"/>
      <c r="N225" s="119"/>
      <c r="O225" s="42" t="s">
        <v>18</v>
      </c>
      <c r="P225" s="53"/>
      <c r="Q225" s="53"/>
      <c r="R225" s="16"/>
      <c r="S225" s="16"/>
      <c r="T225" s="16"/>
      <c r="U225" s="16"/>
      <c r="V225" s="16"/>
      <c r="W225" s="16"/>
      <c r="X225" s="16"/>
      <c r="Y225" s="16"/>
      <c r="Z225" s="16"/>
      <c r="AA225" s="16"/>
      <c r="AB225" s="45"/>
    </row>
    <row r="226" spans="1:28" ht="22" customHeight="1">
      <c r="A226" s="87"/>
      <c r="B226" s="230"/>
      <c r="C226" s="230"/>
      <c r="D226" s="69"/>
      <c r="E226" s="140"/>
      <c r="F226" s="211"/>
      <c r="G226" s="126"/>
      <c r="H226" s="47" t="s">
        <v>19</v>
      </c>
      <c r="I226" s="118"/>
      <c r="J226" s="118"/>
      <c r="K226" s="146"/>
      <c r="L226" s="117"/>
      <c r="M226" s="116"/>
      <c r="N226" s="119"/>
      <c r="O226" s="42" t="s">
        <v>20</v>
      </c>
      <c r="P226" s="15"/>
      <c r="Q226" s="15"/>
      <c r="R226" s="15"/>
      <c r="S226" s="15"/>
      <c r="T226" s="15"/>
      <c r="U226" s="15"/>
      <c r="V226" s="15"/>
      <c r="W226" s="15"/>
      <c r="X226" s="15"/>
      <c r="Y226" s="15"/>
      <c r="Z226" s="15"/>
      <c r="AA226" s="15"/>
      <c r="AB226" s="44"/>
    </row>
    <row r="227" spans="1:28" ht="22" customHeight="1">
      <c r="A227" s="87"/>
      <c r="B227" s="230"/>
      <c r="C227" s="230"/>
      <c r="D227" s="67"/>
      <c r="E227" s="139" t="s">
        <v>209</v>
      </c>
      <c r="F227" s="210" t="s">
        <v>429</v>
      </c>
      <c r="G227" s="125" t="s">
        <v>418</v>
      </c>
      <c r="H227" s="46" t="s">
        <v>23</v>
      </c>
      <c r="I227" s="118" t="s">
        <v>15</v>
      </c>
      <c r="J227" s="118" t="s">
        <v>30</v>
      </c>
      <c r="K227" s="146"/>
      <c r="L227" s="117"/>
      <c r="M227" s="116"/>
      <c r="N227" s="119"/>
      <c r="O227" s="42" t="s">
        <v>18</v>
      </c>
      <c r="P227" s="53"/>
      <c r="Q227" s="53"/>
      <c r="R227" s="16"/>
      <c r="S227" s="16"/>
      <c r="T227" s="16"/>
      <c r="U227" s="16"/>
      <c r="V227" s="16"/>
      <c r="W227" s="16"/>
      <c r="X227" s="16"/>
      <c r="Y227" s="16"/>
      <c r="Z227" s="16"/>
      <c r="AA227" s="16"/>
      <c r="AB227" s="45"/>
    </row>
    <row r="228" spans="1:28" ht="22" customHeight="1">
      <c r="A228" s="87"/>
      <c r="B228" s="230"/>
      <c r="C228" s="230"/>
      <c r="D228" s="69"/>
      <c r="E228" s="140"/>
      <c r="F228" s="211"/>
      <c r="G228" s="126"/>
      <c r="H228" s="47" t="s">
        <v>43</v>
      </c>
      <c r="I228" s="118"/>
      <c r="J228" s="118"/>
      <c r="K228" s="146"/>
      <c r="L228" s="117"/>
      <c r="M228" s="116"/>
      <c r="N228" s="119"/>
      <c r="O228" s="42" t="s">
        <v>20</v>
      </c>
      <c r="P228" s="15"/>
      <c r="Q228" s="15"/>
      <c r="R228" s="15"/>
      <c r="S228" s="15"/>
      <c r="T228" s="15"/>
      <c r="U228" s="15"/>
      <c r="V228" s="15"/>
      <c r="W228" s="15"/>
      <c r="X228" s="15"/>
      <c r="Y228" s="15"/>
      <c r="Z228" s="15"/>
      <c r="AA228" s="15"/>
      <c r="AB228" s="44"/>
    </row>
    <row r="229" spans="1:28" ht="22" customHeight="1">
      <c r="A229" s="87"/>
      <c r="B229" s="230"/>
      <c r="C229" s="230"/>
      <c r="D229" s="67"/>
      <c r="E229" s="139" t="s">
        <v>210</v>
      </c>
      <c r="F229" s="210" t="s">
        <v>430</v>
      </c>
      <c r="G229" s="125" t="s">
        <v>468</v>
      </c>
      <c r="H229" s="46" t="s">
        <v>23</v>
      </c>
      <c r="I229" s="118" t="s">
        <v>15</v>
      </c>
      <c r="J229" s="118" t="s">
        <v>30</v>
      </c>
      <c r="K229" s="146" t="s">
        <v>28</v>
      </c>
      <c r="L229" s="117"/>
      <c r="M229" s="116"/>
      <c r="N229" s="119"/>
      <c r="O229" s="42" t="s">
        <v>18</v>
      </c>
      <c r="P229" s="53"/>
      <c r="Q229" s="53"/>
      <c r="R229" s="16"/>
      <c r="S229" s="16"/>
      <c r="T229" s="16"/>
      <c r="U229" s="16"/>
      <c r="V229" s="16"/>
      <c r="W229" s="16"/>
      <c r="X229" s="16"/>
      <c r="Y229" s="16"/>
      <c r="Z229" s="16"/>
      <c r="AA229" s="16"/>
      <c r="AB229" s="45"/>
    </row>
    <row r="230" spans="1:28" ht="22" customHeight="1">
      <c r="A230" s="87"/>
      <c r="B230" s="230"/>
      <c r="C230" s="230"/>
      <c r="D230" s="69"/>
      <c r="E230" s="140"/>
      <c r="F230" s="211"/>
      <c r="G230" s="126"/>
      <c r="H230" s="47" t="s">
        <v>43</v>
      </c>
      <c r="I230" s="118"/>
      <c r="J230" s="118"/>
      <c r="K230" s="146"/>
      <c r="L230" s="117"/>
      <c r="M230" s="116"/>
      <c r="N230" s="119"/>
      <c r="O230" s="42" t="s">
        <v>20</v>
      </c>
      <c r="P230" s="15"/>
      <c r="Q230" s="15"/>
      <c r="R230" s="15"/>
      <c r="S230" s="15"/>
      <c r="T230" s="15"/>
      <c r="U230" s="15"/>
      <c r="V230" s="15"/>
      <c r="W230" s="15"/>
      <c r="X230" s="15"/>
      <c r="Y230" s="15"/>
      <c r="Z230" s="15"/>
      <c r="AA230" s="15"/>
      <c r="AB230" s="44"/>
    </row>
    <row r="231" spans="1:28" ht="22" customHeight="1">
      <c r="A231" s="87"/>
      <c r="B231" s="230"/>
      <c r="C231" s="230"/>
      <c r="D231" s="67"/>
      <c r="E231" s="139" t="s">
        <v>81</v>
      </c>
      <c r="F231" s="210" t="s">
        <v>469</v>
      </c>
      <c r="G231" s="125" t="s">
        <v>470</v>
      </c>
      <c r="H231" s="46"/>
      <c r="I231" s="118"/>
      <c r="J231" s="118"/>
      <c r="K231" s="146"/>
      <c r="L231" s="117"/>
      <c r="M231" s="116"/>
      <c r="N231" s="119"/>
      <c r="O231" s="42" t="s">
        <v>18</v>
      </c>
      <c r="P231" s="53"/>
      <c r="Q231" s="53"/>
      <c r="R231" s="16"/>
      <c r="S231" s="16"/>
      <c r="T231" s="16"/>
      <c r="U231" s="16"/>
      <c r="V231" s="16"/>
      <c r="W231" s="16"/>
      <c r="X231" s="16"/>
      <c r="Y231" s="16"/>
      <c r="Z231" s="16"/>
      <c r="AA231" s="16"/>
      <c r="AB231" s="45"/>
    </row>
    <row r="232" spans="1:28" ht="22" customHeight="1">
      <c r="A232" s="87"/>
      <c r="B232" s="230"/>
      <c r="C232" s="230"/>
      <c r="D232" s="69"/>
      <c r="E232" s="140"/>
      <c r="F232" s="211"/>
      <c r="G232" s="126"/>
      <c r="H232" s="47"/>
      <c r="I232" s="118"/>
      <c r="J232" s="118"/>
      <c r="K232" s="146"/>
      <c r="L232" s="117"/>
      <c r="M232" s="116"/>
      <c r="N232" s="119"/>
      <c r="O232" s="42" t="s">
        <v>20</v>
      </c>
      <c r="P232" s="15"/>
      <c r="Q232" s="15"/>
      <c r="R232" s="15"/>
      <c r="S232" s="15"/>
      <c r="T232" s="15"/>
      <c r="U232" s="15"/>
      <c r="V232" s="15"/>
      <c r="W232" s="15"/>
      <c r="X232" s="15"/>
      <c r="Y232" s="15"/>
      <c r="Z232" s="15"/>
      <c r="AA232" s="15"/>
      <c r="AB232" s="44"/>
    </row>
    <row r="233" spans="1:28" ht="22" customHeight="1">
      <c r="A233" s="87"/>
      <c r="B233" s="230"/>
      <c r="C233" s="230"/>
      <c r="D233" s="67"/>
      <c r="E233" s="139" t="s">
        <v>218</v>
      </c>
      <c r="F233" s="210" t="s">
        <v>471</v>
      </c>
      <c r="G233" s="125" t="s">
        <v>472</v>
      </c>
      <c r="H233" s="46"/>
      <c r="I233" s="118"/>
      <c r="J233" s="118"/>
      <c r="K233" s="146"/>
      <c r="L233" s="117"/>
      <c r="M233" s="116"/>
      <c r="N233" s="119"/>
      <c r="O233" s="42" t="s">
        <v>18</v>
      </c>
      <c r="P233" s="53"/>
      <c r="Q233" s="53"/>
      <c r="R233" s="16"/>
      <c r="S233" s="16"/>
      <c r="T233" s="16"/>
      <c r="U233" s="16"/>
      <c r="V233" s="16"/>
      <c r="W233" s="16"/>
      <c r="X233" s="16"/>
      <c r="Y233" s="16"/>
      <c r="Z233" s="16"/>
      <c r="AA233" s="16"/>
      <c r="AB233" s="45"/>
    </row>
    <row r="234" spans="1:28" ht="22" customHeight="1">
      <c r="A234" s="87"/>
      <c r="B234" s="230"/>
      <c r="C234" s="230"/>
      <c r="D234" s="69"/>
      <c r="E234" s="140"/>
      <c r="F234" s="211"/>
      <c r="G234" s="126"/>
      <c r="H234" s="47"/>
      <c r="I234" s="118"/>
      <c r="J234" s="118"/>
      <c r="K234" s="146"/>
      <c r="L234" s="117"/>
      <c r="M234" s="116"/>
      <c r="N234" s="119"/>
      <c r="O234" s="42" t="s">
        <v>20</v>
      </c>
      <c r="P234" s="15"/>
      <c r="Q234" s="15"/>
      <c r="R234" s="15"/>
      <c r="S234" s="15"/>
      <c r="T234" s="15"/>
      <c r="U234" s="15"/>
      <c r="V234" s="15"/>
      <c r="W234" s="15"/>
      <c r="X234" s="15"/>
      <c r="Y234" s="15"/>
      <c r="Z234" s="15"/>
      <c r="AA234" s="15"/>
      <c r="AB234" s="44"/>
    </row>
    <row r="235" spans="1:28" ht="22" customHeight="1">
      <c r="A235" s="87"/>
      <c r="B235" s="230"/>
      <c r="C235" s="230"/>
      <c r="D235" s="67"/>
      <c r="E235" s="139" t="s">
        <v>219</v>
      </c>
      <c r="F235" s="210" t="s">
        <v>473</v>
      </c>
      <c r="G235" s="125" t="s">
        <v>474</v>
      </c>
      <c r="H235" s="46"/>
      <c r="I235" s="118"/>
      <c r="J235" s="118"/>
      <c r="K235" s="146"/>
      <c r="L235" s="117"/>
      <c r="M235" s="116"/>
      <c r="N235" s="119"/>
      <c r="O235" s="42" t="s">
        <v>18</v>
      </c>
      <c r="P235" s="53"/>
      <c r="Q235" s="53"/>
      <c r="R235" s="16"/>
      <c r="S235" s="16"/>
      <c r="T235" s="16"/>
      <c r="U235" s="16"/>
      <c r="V235" s="16"/>
      <c r="W235" s="16"/>
      <c r="X235" s="16"/>
      <c r="Y235" s="16"/>
      <c r="Z235" s="16"/>
      <c r="AA235" s="16"/>
      <c r="AB235" s="45"/>
    </row>
    <row r="236" spans="1:28" ht="22" customHeight="1">
      <c r="A236" s="87"/>
      <c r="B236" s="230"/>
      <c r="C236" s="230"/>
      <c r="D236" s="69"/>
      <c r="E236" s="140"/>
      <c r="F236" s="211"/>
      <c r="G236" s="126"/>
      <c r="H236" s="47"/>
      <c r="I236" s="118"/>
      <c r="J236" s="118"/>
      <c r="K236" s="146"/>
      <c r="L236" s="117"/>
      <c r="M236" s="116"/>
      <c r="N236" s="119"/>
      <c r="O236" s="42" t="s">
        <v>20</v>
      </c>
      <c r="P236" s="15"/>
      <c r="Q236" s="15"/>
      <c r="R236" s="15"/>
      <c r="S236" s="15"/>
      <c r="T236" s="15"/>
      <c r="U236" s="15"/>
      <c r="V236" s="15"/>
      <c r="W236" s="15"/>
      <c r="X236" s="15"/>
      <c r="Y236" s="15"/>
      <c r="Z236" s="15"/>
      <c r="AA236" s="15"/>
      <c r="AB236" s="44"/>
    </row>
    <row r="237" spans="1:28" ht="22" customHeight="1">
      <c r="A237" s="87"/>
      <c r="B237" s="230"/>
      <c r="C237" s="230"/>
      <c r="D237" s="67"/>
      <c r="E237" s="139" t="s">
        <v>220</v>
      </c>
      <c r="F237" s="210" t="s">
        <v>475</v>
      </c>
      <c r="G237" s="125" t="s">
        <v>476</v>
      </c>
      <c r="H237" s="46"/>
      <c r="I237" s="118"/>
      <c r="J237" s="118"/>
      <c r="K237" s="146"/>
      <c r="L237" s="117"/>
      <c r="M237" s="116"/>
      <c r="N237" s="119"/>
      <c r="O237" s="42" t="s">
        <v>18</v>
      </c>
      <c r="P237" s="53"/>
      <c r="Q237" s="53"/>
      <c r="R237" s="16"/>
      <c r="S237" s="16"/>
      <c r="T237" s="16"/>
      <c r="U237" s="16"/>
      <c r="V237" s="16"/>
      <c r="W237" s="16"/>
      <c r="X237" s="16"/>
      <c r="Y237" s="16"/>
      <c r="Z237" s="16"/>
      <c r="AA237" s="16"/>
      <c r="AB237" s="45"/>
    </row>
    <row r="238" spans="1:28" ht="22" customHeight="1">
      <c r="A238" s="87"/>
      <c r="B238" s="230"/>
      <c r="C238" s="230"/>
      <c r="D238" s="69"/>
      <c r="E238" s="140"/>
      <c r="F238" s="211"/>
      <c r="G238" s="126"/>
      <c r="H238" s="47"/>
      <c r="I238" s="118"/>
      <c r="J238" s="118"/>
      <c r="K238" s="146"/>
      <c r="L238" s="117"/>
      <c r="M238" s="116"/>
      <c r="N238" s="119"/>
      <c r="O238" s="42" t="s">
        <v>20</v>
      </c>
      <c r="P238" s="15"/>
      <c r="Q238" s="15"/>
      <c r="R238" s="15"/>
      <c r="S238" s="15"/>
      <c r="T238" s="15"/>
      <c r="U238" s="15"/>
      <c r="V238" s="15"/>
      <c r="W238" s="15"/>
      <c r="X238" s="15"/>
      <c r="Y238" s="15"/>
      <c r="Z238" s="15"/>
      <c r="AA238" s="15"/>
      <c r="AB238" s="44"/>
    </row>
    <row r="239" spans="1:28" ht="22" customHeight="1">
      <c r="A239" s="87"/>
      <c r="B239" s="230"/>
      <c r="C239" s="230"/>
      <c r="D239" s="67"/>
      <c r="E239" s="139" t="s">
        <v>221</v>
      </c>
      <c r="F239" s="210" t="s">
        <v>477</v>
      </c>
      <c r="G239" s="125" t="s">
        <v>478</v>
      </c>
      <c r="H239" s="46"/>
      <c r="I239" s="118"/>
      <c r="J239" s="118"/>
      <c r="K239" s="146"/>
      <c r="L239" s="117"/>
      <c r="M239" s="116"/>
      <c r="N239" s="119"/>
      <c r="O239" s="42" t="s">
        <v>18</v>
      </c>
      <c r="P239" s="53"/>
      <c r="Q239" s="53"/>
      <c r="R239" s="16"/>
      <c r="S239" s="16"/>
      <c r="T239" s="16"/>
      <c r="U239" s="16"/>
      <c r="V239" s="16"/>
      <c r="W239" s="16"/>
      <c r="X239" s="16"/>
      <c r="Y239" s="16"/>
      <c r="Z239" s="16"/>
      <c r="AA239" s="16"/>
      <c r="AB239" s="45"/>
    </row>
    <row r="240" spans="1:28" ht="22" customHeight="1">
      <c r="A240" s="87"/>
      <c r="B240" s="230"/>
      <c r="C240" s="230"/>
      <c r="D240" s="69"/>
      <c r="E240" s="140"/>
      <c r="F240" s="211"/>
      <c r="G240" s="126"/>
      <c r="H240" s="47"/>
      <c r="I240" s="118"/>
      <c r="J240" s="118"/>
      <c r="K240" s="146"/>
      <c r="L240" s="117"/>
      <c r="M240" s="116"/>
      <c r="N240" s="119"/>
      <c r="O240" s="42" t="s">
        <v>20</v>
      </c>
      <c r="P240" s="15"/>
      <c r="Q240" s="15"/>
      <c r="R240" s="15"/>
      <c r="S240" s="15"/>
      <c r="T240" s="15"/>
      <c r="U240" s="15"/>
      <c r="V240" s="15"/>
      <c r="W240" s="15"/>
      <c r="X240" s="15"/>
      <c r="Y240" s="15"/>
      <c r="Z240" s="15"/>
      <c r="AA240" s="15"/>
      <c r="AB240" s="44"/>
    </row>
    <row r="241" spans="1:28" ht="22" customHeight="1">
      <c r="A241" s="87"/>
      <c r="B241" s="230"/>
      <c r="C241" s="230"/>
      <c r="D241" s="67"/>
      <c r="E241" s="139" t="s">
        <v>229</v>
      </c>
      <c r="F241" s="210" t="s">
        <v>479</v>
      </c>
      <c r="G241" s="125" t="s">
        <v>480</v>
      </c>
      <c r="H241" s="46"/>
      <c r="I241" s="118"/>
      <c r="J241" s="118"/>
      <c r="K241" s="146"/>
      <c r="L241" s="117"/>
      <c r="M241" s="116"/>
      <c r="N241" s="119"/>
      <c r="O241" s="42" t="s">
        <v>18</v>
      </c>
      <c r="P241" s="53"/>
      <c r="Q241" s="53"/>
      <c r="R241" s="16"/>
      <c r="S241" s="16"/>
      <c r="T241" s="16"/>
      <c r="U241" s="16"/>
      <c r="V241" s="16"/>
      <c r="W241" s="16"/>
      <c r="X241" s="16"/>
      <c r="Y241" s="16"/>
      <c r="Z241" s="16"/>
      <c r="AA241" s="16"/>
      <c r="AB241" s="45"/>
    </row>
    <row r="242" spans="1:28" ht="22" customHeight="1">
      <c r="A242" s="87"/>
      <c r="B242" s="230"/>
      <c r="C242" s="230"/>
      <c r="D242" s="69"/>
      <c r="E242" s="140"/>
      <c r="F242" s="211"/>
      <c r="G242" s="126"/>
      <c r="H242" s="47"/>
      <c r="I242" s="118"/>
      <c r="J242" s="118"/>
      <c r="K242" s="146"/>
      <c r="L242" s="117"/>
      <c r="M242" s="116"/>
      <c r="N242" s="119"/>
      <c r="O242" s="42" t="s">
        <v>20</v>
      </c>
      <c r="P242" s="15"/>
      <c r="Q242" s="15"/>
      <c r="R242" s="15"/>
      <c r="S242" s="15"/>
      <c r="T242" s="15"/>
      <c r="U242" s="15"/>
      <c r="V242" s="15"/>
      <c r="W242" s="15"/>
      <c r="X242" s="15"/>
      <c r="Y242" s="15"/>
      <c r="Z242" s="15"/>
      <c r="AA242" s="15"/>
      <c r="AB242" s="44"/>
    </row>
    <row r="243" spans="1:28" ht="22" customHeight="1">
      <c r="A243" s="87"/>
      <c r="B243" s="230"/>
      <c r="C243" s="230"/>
      <c r="D243" s="67"/>
      <c r="E243" s="139" t="s">
        <v>174</v>
      </c>
      <c r="F243" s="210" t="s">
        <v>481</v>
      </c>
      <c r="G243" s="125" t="s">
        <v>482</v>
      </c>
      <c r="H243" s="46"/>
      <c r="I243" s="118"/>
      <c r="J243" s="118"/>
      <c r="K243" s="146"/>
      <c r="L243" s="117"/>
      <c r="M243" s="116"/>
      <c r="N243" s="119"/>
      <c r="O243" s="42" t="s">
        <v>18</v>
      </c>
      <c r="P243" s="53"/>
      <c r="Q243" s="53"/>
      <c r="R243" s="16"/>
      <c r="S243" s="16"/>
      <c r="T243" s="16"/>
      <c r="U243" s="16"/>
      <c r="V243" s="16"/>
      <c r="W243" s="16"/>
      <c r="X243" s="16"/>
      <c r="Y243" s="16"/>
      <c r="Z243" s="16"/>
      <c r="AA243" s="16"/>
      <c r="AB243" s="45"/>
    </row>
    <row r="244" spans="1:28" ht="22" customHeight="1">
      <c r="A244" s="87"/>
      <c r="B244" s="230"/>
      <c r="C244" s="230"/>
      <c r="D244" s="69"/>
      <c r="E244" s="140"/>
      <c r="F244" s="211"/>
      <c r="G244" s="126"/>
      <c r="H244" s="47"/>
      <c r="I244" s="118"/>
      <c r="J244" s="118"/>
      <c r="K244" s="146"/>
      <c r="L244" s="117"/>
      <c r="M244" s="116"/>
      <c r="N244" s="119"/>
      <c r="O244" s="42" t="s">
        <v>20</v>
      </c>
      <c r="P244" s="15"/>
      <c r="Q244" s="15"/>
      <c r="R244" s="15"/>
      <c r="S244" s="15"/>
      <c r="T244" s="15"/>
      <c r="U244" s="15"/>
      <c r="V244" s="15"/>
      <c r="W244" s="15"/>
      <c r="X244" s="15"/>
      <c r="Y244" s="15"/>
      <c r="Z244" s="15"/>
      <c r="AA244" s="15"/>
      <c r="AB244" s="44"/>
    </row>
    <row r="245" spans="1:28" ht="18" customHeight="1">
      <c r="A245" s="87"/>
      <c r="B245" s="231" t="s">
        <v>200</v>
      </c>
      <c r="C245" s="231"/>
      <c r="D245" s="67"/>
      <c r="E245" s="201" t="s">
        <v>146</v>
      </c>
      <c r="F245" s="210" t="s">
        <v>483</v>
      </c>
      <c r="G245" s="125" t="s">
        <v>483</v>
      </c>
      <c r="H245" s="41" t="s">
        <v>34</v>
      </c>
      <c r="I245" s="118" t="s">
        <v>15</v>
      </c>
      <c r="J245" s="118" t="s">
        <v>30</v>
      </c>
      <c r="K245" s="130" t="s">
        <v>49</v>
      </c>
      <c r="L245" s="203"/>
      <c r="M245" s="116"/>
      <c r="N245" s="119"/>
      <c r="O245" s="42" t="s">
        <v>18</v>
      </c>
      <c r="P245" s="53"/>
      <c r="Q245" s="53"/>
      <c r="R245" s="16"/>
      <c r="S245" s="16"/>
      <c r="T245" s="16"/>
      <c r="U245" s="16"/>
      <c r="V245" s="16"/>
      <c r="W245" s="16"/>
      <c r="X245" s="16"/>
      <c r="Y245" s="16"/>
      <c r="Z245" s="16"/>
      <c r="AA245" s="16"/>
      <c r="AB245" s="45"/>
    </row>
    <row r="246" spans="1:28" ht="18" customHeight="1">
      <c r="A246" s="87"/>
      <c r="B246" s="231"/>
      <c r="C246" s="231"/>
      <c r="D246" s="69"/>
      <c r="E246" s="202"/>
      <c r="F246" s="211"/>
      <c r="G246" s="126"/>
      <c r="H246" s="43" t="s">
        <v>115</v>
      </c>
      <c r="I246" s="118"/>
      <c r="J246" s="118"/>
      <c r="K246" s="138"/>
      <c r="L246" s="203"/>
      <c r="M246" s="116"/>
      <c r="N246" s="119"/>
      <c r="O246" s="42" t="s">
        <v>20</v>
      </c>
      <c r="P246" s="15"/>
      <c r="Q246" s="15"/>
      <c r="R246" s="15"/>
      <c r="S246" s="15"/>
      <c r="T246" s="15"/>
      <c r="U246" s="15"/>
      <c r="V246" s="15"/>
      <c r="W246" s="15"/>
      <c r="X246" s="15"/>
      <c r="Y246" s="15"/>
      <c r="Z246" s="15"/>
      <c r="AA246" s="15"/>
      <c r="AB246" s="44"/>
    </row>
    <row r="247" spans="1:28" ht="18" customHeight="1">
      <c r="A247" s="87"/>
      <c r="B247" s="231"/>
      <c r="C247" s="231"/>
      <c r="D247" s="67"/>
      <c r="E247" s="201" t="s">
        <v>148</v>
      </c>
      <c r="F247" s="210" t="s">
        <v>484</v>
      </c>
      <c r="G247" s="125" t="s">
        <v>484</v>
      </c>
      <c r="H247" s="41" t="s">
        <v>23</v>
      </c>
      <c r="I247" s="118" t="s">
        <v>15</v>
      </c>
      <c r="J247" s="118" t="s">
        <v>30</v>
      </c>
      <c r="K247" s="130" t="s">
        <v>49</v>
      </c>
      <c r="L247" s="191"/>
      <c r="M247" s="116"/>
      <c r="N247" s="119"/>
      <c r="O247" s="42" t="s">
        <v>18</v>
      </c>
      <c r="P247" s="53"/>
      <c r="Q247" s="53"/>
      <c r="R247" s="16"/>
      <c r="S247" s="16"/>
      <c r="T247" s="16"/>
      <c r="U247" s="16"/>
      <c r="V247" s="16"/>
      <c r="W247" s="16"/>
      <c r="X247" s="16"/>
      <c r="Y247" s="16"/>
      <c r="Z247" s="16"/>
      <c r="AA247" s="16"/>
      <c r="AB247" s="45"/>
    </row>
    <row r="248" spans="1:28" ht="18" customHeight="1">
      <c r="A248" s="87"/>
      <c r="B248" s="231"/>
      <c r="C248" s="231"/>
      <c r="D248" s="69"/>
      <c r="E248" s="202"/>
      <c r="F248" s="211"/>
      <c r="G248" s="126"/>
      <c r="H248" s="43" t="s">
        <v>43</v>
      </c>
      <c r="I248" s="118"/>
      <c r="J248" s="118"/>
      <c r="K248" s="138"/>
      <c r="L248" s="117"/>
      <c r="M248" s="116"/>
      <c r="N248" s="119"/>
      <c r="O248" s="42" t="s">
        <v>20</v>
      </c>
      <c r="P248" s="15"/>
      <c r="Q248" s="15"/>
      <c r="R248" s="15"/>
      <c r="S248" s="15"/>
      <c r="T248" s="15"/>
      <c r="U248" s="15"/>
      <c r="V248" s="15"/>
      <c r="W248" s="15"/>
      <c r="X248" s="15"/>
      <c r="Y248" s="15"/>
      <c r="Z248" s="15"/>
      <c r="AA248" s="15"/>
      <c r="AB248" s="44"/>
    </row>
    <row r="249" spans="1:28" ht="18" customHeight="1">
      <c r="A249" s="87"/>
      <c r="B249" s="231"/>
      <c r="C249" s="231"/>
      <c r="D249" s="68"/>
      <c r="E249" s="201" t="s">
        <v>147</v>
      </c>
      <c r="F249" s="210" t="s">
        <v>485</v>
      </c>
      <c r="G249" s="125" t="s">
        <v>485</v>
      </c>
      <c r="H249" s="41" t="s">
        <v>34</v>
      </c>
      <c r="I249" s="118" t="s">
        <v>15</v>
      </c>
      <c r="J249" s="118" t="s">
        <v>16</v>
      </c>
      <c r="K249" s="130" t="s">
        <v>49</v>
      </c>
      <c r="L249" s="117"/>
      <c r="M249" s="116"/>
      <c r="N249" s="119"/>
      <c r="O249" s="42" t="s">
        <v>18</v>
      </c>
      <c r="P249" s="15"/>
      <c r="Q249" s="15"/>
      <c r="R249" s="15"/>
      <c r="S249" s="15"/>
      <c r="T249" s="15"/>
      <c r="U249" s="15"/>
      <c r="V249" s="15"/>
      <c r="W249" s="15"/>
      <c r="X249" s="15"/>
      <c r="Y249" s="15"/>
      <c r="Z249" s="15"/>
      <c r="AA249" s="15"/>
      <c r="AB249" s="44"/>
    </row>
    <row r="250" spans="1:28" ht="18" customHeight="1">
      <c r="A250" s="87"/>
      <c r="B250" s="231"/>
      <c r="C250" s="231"/>
      <c r="D250" s="68"/>
      <c r="E250" s="202"/>
      <c r="F250" s="211"/>
      <c r="G250" s="126"/>
      <c r="H250" s="43" t="s">
        <v>43</v>
      </c>
      <c r="I250" s="118"/>
      <c r="J250" s="118"/>
      <c r="K250" s="138"/>
      <c r="L250" s="117"/>
      <c r="M250" s="116"/>
      <c r="N250" s="119"/>
      <c r="O250" s="42" t="s">
        <v>20</v>
      </c>
      <c r="P250" s="15"/>
      <c r="Q250" s="15"/>
      <c r="R250" s="15"/>
      <c r="S250" s="15"/>
      <c r="T250" s="15"/>
      <c r="U250" s="15"/>
      <c r="V250" s="15"/>
      <c r="W250" s="15"/>
      <c r="X250" s="15"/>
      <c r="Y250" s="15"/>
      <c r="Z250" s="15"/>
      <c r="AA250" s="15"/>
      <c r="AB250" s="44"/>
    </row>
    <row r="251" spans="1:28" ht="18" customHeight="1">
      <c r="A251" s="87"/>
      <c r="B251" s="231"/>
      <c r="C251" s="231"/>
      <c r="D251" s="67"/>
      <c r="E251" s="201" t="s">
        <v>149</v>
      </c>
      <c r="F251" s="210" t="s">
        <v>486</v>
      </c>
      <c r="G251" s="125" t="s">
        <v>486</v>
      </c>
      <c r="H251" s="41" t="s">
        <v>25</v>
      </c>
      <c r="I251" s="118" t="s">
        <v>15</v>
      </c>
      <c r="J251" s="118" t="s">
        <v>30</v>
      </c>
      <c r="K251" s="130" t="s">
        <v>49</v>
      </c>
      <c r="L251" s="117"/>
      <c r="M251" s="116"/>
      <c r="N251" s="119"/>
      <c r="O251" s="42" t="s">
        <v>18</v>
      </c>
      <c r="P251" s="53"/>
      <c r="Q251" s="53"/>
      <c r="R251" s="16"/>
      <c r="S251" s="16"/>
      <c r="T251" s="16"/>
      <c r="U251" s="16"/>
      <c r="V251" s="16"/>
      <c r="W251" s="16"/>
      <c r="X251" s="16"/>
      <c r="Y251" s="16"/>
      <c r="Z251" s="16"/>
      <c r="AA251" s="16"/>
      <c r="AB251" s="45"/>
    </row>
    <row r="252" spans="1:28" ht="18" customHeight="1">
      <c r="A252" s="87"/>
      <c r="B252" s="231"/>
      <c r="C252" s="231"/>
      <c r="D252" s="69"/>
      <c r="E252" s="202"/>
      <c r="F252" s="211"/>
      <c r="G252" s="126"/>
      <c r="H252" s="43" t="s">
        <v>115</v>
      </c>
      <c r="I252" s="118"/>
      <c r="J252" s="118"/>
      <c r="K252" s="138"/>
      <c r="L252" s="117"/>
      <c r="M252" s="116"/>
      <c r="N252" s="119"/>
      <c r="O252" s="42" t="s">
        <v>20</v>
      </c>
      <c r="P252" s="15"/>
      <c r="Q252" s="15"/>
      <c r="R252" s="15"/>
      <c r="S252" s="15"/>
      <c r="T252" s="15"/>
      <c r="U252" s="15"/>
      <c r="V252" s="15"/>
      <c r="W252" s="15"/>
      <c r="X252" s="15"/>
      <c r="Y252" s="15"/>
      <c r="Z252" s="15"/>
      <c r="AA252" s="15"/>
      <c r="AB252" s="44"/>
    </row>
    <row r="253" spans="1:28" ht="18" customHeight="1">
      <c r="A253" s="87"/>
      <c r="B253" s="231"/>
      <c r="C253" s="231"/>
      <c r="D253" s="67"/>
      <c r="E253" s="125" t="s">
        <v>150</v>
      </c>
      <c r="F253" s="210" t="s">
        <v>487</v>
      </c>
      <c r="G253" s="125" t="s">
        <v>487</v>
      </c>
      <c r="H253" s="41" t="s">
        <v>23</v>
      </c>
      <c r="I253" s="118" t="s">
        <v>15</v>
      </c>
      <c r="J253" s="118" t="s">
        <v>51</v>
      </c>
      <c r="K253" s="130" t="s">
        <v>49</v>
      </c>
      <c r="L253" s="117"/>
      <c r="M253" s="116"/>
      <c r="N253" s="119"/>
      <c r="O253" s="42" t="s">
        <v>18</v>
      </c>
      <c r="P253" s="53"/>
      <c r="Q253" s="53"/>
      <c r="R253" s="16"/>
      <c r="S253" s="16"/>
      <c r="T253" s="16"/>
      <c r="U253" s="16"/>
      <c r="V253" s="16"/>
      <c r="W253" s="16"/>
      <c r="X253" s="16"/>
      <c r="Y253" s="16"/>
      <c r="Z253" s="16"/>
      <c r="AA253" s="16"/>
      <c r="AB253" s="45"/>
    </row>
    <row r="254" spans="1:28" ht="18" customHeight="1">
      <c r="A254" s="87"/>
      <c r="B254" s="231"/>
      <c r="C254" s="231"/>
      <c r="D254" s="69"/>
      <c r="E254" s="126"/>
      <c r="F254" s="211"/>
      <c r="G254" s="126"/>
      <c r="H254" s="43" t="s">
        <v>110</v>
      </c>
      <c r="I254" s="118"/>
      <c r="J254" s="118"/>
      <c r="K254" s="130"/>
      <c r="L254" s="117"/>
      <c r="M254" s="116"/>
      <c r="N254" s="119"/>
      <c r="O254" s="42" t="s">
        <v>20</v>
      </c>
      <c r="P254" s="15"/>
      <c r="Q254" s="15"/>
      <c r="R254" s="15"/>
      <c r="S254" s="15"/>
      <c r="T254" s="15"/>
      <c r="U254" s="15"/>
      <c r="V254" s="15"/>
      <c r="W254" s="15"/>
      <c r="X254" s="15"/>
      <c r="Y254" s="15"/>
      <c r="Z254" s="15"/>
      <c r="AA254" s="15"/>
      <c r="AB254" s="44"/>
    </row>
    <row r="255" spans="1:28" ht="18" customHeight="1">
      <c r="A255" s="87"/>
      <c r="B255" s="231"/>
      <c r="C255" s="231"/>
      <c r="D255" s="67"/>
      <c r="E255" s="125" t="s">
        <v>151</v>
      </c>
      <c r="F255" s="210" t="s">
        <v>488</v>
      </c>
      <c r="G255" s="125" t="s">
        <v>488</v>
      </c>
      <c r="H255" s="41" t="s">
        <v>48</v>
      </c>
      <c r="I255" s="118" t="s">
        <v>15</v>
      </c>
      <c r="J255" s="118" t="s">
        <v>51</v>
      </c>
      <c r="K255" s="130" t="s">
        <v>49</v>
      </c>
      <c r="L255" s="117"/>
      <c r="M255" s="116"/>
      <c r="N255" s="119"/>
      <c r="O255" s="42" t="s">
        <v>18</v>
      </c>
      <c r="P255" s="53"/>
      <c r="Q255" s="53"/>
      <c r="R255" s="16"/>
      <c r="S255" s="16"/>
      <c r="T255" s="16"/>
      <c r="U255" s="16"/>
      <c r="V255" s="16"/>
      <c r="W255" s="16"/>
      <c r="X255" s="16"/>
      <c r="Y255" s="16"/>
      <c r="Z255" s="16"/>
      <c r="AA255" s="16"/>
      <c r="AB255" s="45"/>
    </row>
    <row r="256" spans="1:28" ht="18" customHeight="1">
      <c r="A256" s="87"/>
      <c r="B256" s="231"/>
      <c r="C256" s="231"/>
      <c r="D256" s="69"/>
      <c r="E256" s="126"/>
      <c r="F256" s="211"/>
      <c r="G256" s="126"/>
      <c r="H256" s="43" t="s">
        <v>109</v>
      </c>
      <c r="I256" s="118"/>
      <c r="J256" s="118"/>
      <c r="K256" s="130"/>
      <c r="L256" s="117"/>
      <c r="M256" s="116"/>
      <c r="N256" s="119"/>
      <c r="O256" s="42" t="s">
        <v>20</v>
      </c>
      <c r="P256" s="15"/>
      <c r="Q256" s="15"/>
      <c r="R256" s="15"/>
      <c r="S256" s="15"/>
      <c r="T256" s="15"/>
      <c r="U256" s="15"/>
      <c r="V256" s="15"/>
      <c r="W256" s="15"/>
      <c r="X256" s="15"/>
      <c r="Y256" s="15"/>
      <c r="Z256" s="15"/>
      <c r="AA256" s="15"/>
      <c r="AB256" s="44"/>
    </row>
    <row r="257" spans="1:258" ht="18" customHeight="1">
      <c r="A257" s="87"/>
      <c r="B257" s="231"/>
      <c r="C257" s="231"/>
      <c r="D257" s="67"/>
      <c r="E257" s="125" t="s">
        <v>211</v>
      </c>
      <c r="F257" s="210" t="s">
        <v>489</v>
      </c>
      <c r="G257" s="125" t="s">
        <v>489</v>
      </c>
      <c r="H257" s="41" t="s">
        <v>23</v>
      </c>
      <c r="I257" s="118" t="s">
        <v>15</v>
      </c>
      <c r="J257" s="118" t="s">
        <v>51</v>
      </c>
      <c r="K257" s="130" t="s">
        <v>49</v>
      </c>
      <c r="L257" s="117"/>
      <c r="M257" s="116"/>
      <c r="N257" s="119"/>
      <c r="O257" s="42" t="s">
        <v>18</v>
      </c>
      <c r="P257" s="53"/>
      <c r="Q257" s="53"/>
      <c r="R257" s="16"/>
      <c r="S257" s="16"/>
      <c r="T257" s="16"/>
      <c r="U257" s="16"/>
      <c r="V257" s="16"/>
      <c r="W257" s="16"/>
      <c r="X257" s="16"/>
      <c r="Y257" s="16"/>
      <c r="Z257" s="16"/>
      <c r="AA257" s="16"/>
      <c r="AB257" s="45"/>
    </row>
    <row r="258" spans="1:258" ht="18" customHeight="1">
      <c r="A258" s="87"/>
      <c r="B258" s="231"/>
      <c r="C258" s="231"/>
      <c r="D258" s="69"/>
      <c r="E258" s="126"/>
      <c r="F258" s="211"/>
      <c r="G258" s="126"/>
      <c r="H258" s="43" t="s">
        <v>110</v>
      </c>
      <c r="I258" s="118"/>
      <c r="J258" s="118"/>
      <c r="K258" s="130"/>
      <c r="L258" s="117"/>
      <c r="M258" s="116"/>
      <c r="N258" s="119"/>
      <c r="O258" s="42" t="s">
        <v>20</v>
      </c>
      <c r="P258" s="15"/>
      <c r="Q258" s="15"/>
      <c r="R258" s="15"/>
      <c r="S258" s="15"/>
      <c r="T258" s="15"/>
      <c r="U258" s="15"/>
      <c r="V258" s="15"/>
      <c r="W258" s="15"/>
      <c r="X258" s="15"/>
      <c r="Y258" s="15"/>
      <c r="Z258" s="15"/>
      <c r="AA258" s="15"/>
      <c r="AB258" s="44"/>
    </row>
    <row r="259" spans="1:258" s="94" customFormat="1" ht="18" customHeight="1">
      <c r="A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c r="AE259" s="95"/>
      <c r="AF259" s="95"/>
      <c r="AG259" s="95"/>
      <c r="AH259" s="95"/>
      <c r="AI259" s="95"/>
      <c r="AJ259" s="95"/>
      <c r="AK259" s="95"/>
      <c r="AL259" s="95"/>
      <c r="AM259" s="95"/>
      <c r="AN259" s="95"/>
      <c r="AO259" s="95"/>
      <c r="AP259" s="95"/>
      <c r="AQ259" s="95"/>
      <c r="AR259" s="95"/>
      <c r="AS259" s="95"/>
      <c r="AT259" s="95"/>
      <c r="AU259" s="95"/>
      <c r="AV259" s="95"/>
      <c r="AW259" s="95"/>
      <c r="AX259" s="95"/>
      <c r="AY259" s="95"/>
      <c r="AZ259" s="95"/>
      <c r="BA259" s="95"/>
      <c r="BB259" s="95"/>
      <c r="BC259" s="95"/>
      <c r="BD259" s="95"/>
      <c r="BE259" s="95"/>
      <c r="BF259" s="95"/>
      <c r="BG259" s="95"/>
      <c r="BH259" s="95"/>
      <c r="BI259" s="95"/>
      <c r="BJ259" s="95"/>
      <c r="BK259" s="95"/>
      <c r="BL259" s="95"/>
      <c r="BM259" s="95"/>
      <c r="BN259" s="95"/>
      <c r="BO259" s="95"/>
      <c r="BP259" s="95"/>
      <c r="BQ259" s="95"/>
      <c r="BR259" s="95"/>
      <c r="BS259" s="95"/>
      <c r="BT259" s="95"/>
      <c r="BU259" s="95"/>
      <c r="BV259" s="95"/>
      <c r="BW259" s="95"/>
      <c r="BX259" s="95"/>
      <c r="BY259" s="95"/>
      <c r="BZ259" s="95"/>
      <c r="CA259" s="95"/>
      <c r="CB259" s="95"/>
      <c r="CC259" s="95"/>
      <c r="CD259" s="95"/>
      <c r="CE259" s="95"/>
      <c r="CF259" s="95"/>
      <c r="CG259" s="95"/>
      <c r="CH259" s="95"/>
      <c r="CI259" s="95"/>
      <c r="CJ259" s="95"/>
      <c r="CK259" s="95"/>
      <c r="CL259" s="95"/>
      <c r="CM259" s="95"/>
      <c r="CN259" s="95"/>
      <c r="CO259" s="95"/>
      <c r="CP259" s="95"/>
      <c r="CQ259" s="95"/>
      <c r="CR259" s="95"/>
      <c r="CS259" s="95"/>
      <c r="CT259" s="95"/>
      <c r="CU259" s="95"/>
      <c r="CV259" s="95"/>
      <c r="CW259" s="95"/>
      <c r="CX259" s="95"/>
      <c r="CY259" s="95"/>
      <c r="CZ259" s="95"/>
      <c r="DA259" s="95"/>
      <c r="DB259" s="95"/>
      <c r="DC259" s="95"/>
      <c r="DD259" s="95"/>
      <c r="DE259" s="95"/>
      <c r="DF259" s="95"/>
      <c r="DG259" s="95"/>
      <c r="DH259" s="95"/>
      <c r="DI259" s="95"/>
      <c r="DJ259" s="95"/>
      <c r="DK259" s="95"/>
      <c r="DL259" s="95"/>
      <c r="DM259" s="95"/>
      <c r="DN259" s="95"/>
      <c r="DO259" s="95"/>
      <c r="DP259" s="95"/>
      <c r="DQ259" s="95"/>
      <c r="DR259" s="95"/>
      <c r="DS259" s="95"/>
      <c r="DT259" s="95"/>
      <c r="DU259" s="95"/>
      <c r="DV259" s="95"/>
      <c r="DW259" s="95"/>
      <c r="DX259" s="95"/>
      <c r="DY259" s="95"/>
      <c r="DZ259" s="95"/>
      <c r="EA259" s="95"/>
      <c r="EB259" s="95"/>
      <c r="EC259" s="95"/>
      <c r="ED259" s="95"/>
      <c r="EE259" s="95"/>
      <c r="EF259" s="95"/>
      <c r="EG259" s="95"/>
      <c r="EH259" s="95"/>
      <c r="EI259" s="95"/>
      <c r="EJ259" s="95"/>
      <c r="EK259" s="95"/>
      <c r="EL259" s="95"/>
      <c r="EM259" s="95"/>
      <c r="EN259" s="95"/>
      <c r="EO259" s="95"/>
      <c r="EP259" s="95"/>
      <c r="EQ259" s="95"/>
      <c r="ER259" s="95"/>
      <c r="ES259" s="95"/>
      <c r="ET259" s="95"/>
      <c r="EU259" s="95"/>
      <c r="EV259" s="95"/>
      <c r="EW259" s="95"/>
      <c r="EX259" s="95"/>
      <c r="EY259" s="95"/>
      <c r="EZ259" s="95"/>
      <c r="FA259" s="95"/>
      <c r="FB259" s="95"/>
      <c r="FC259" s="95"/>
      <c r="FD259" s="95"/>
      <c r="FE259" s="95"/>
      <c r="FF259" s="95"/>
      <c r="FG259" s="95"/>
      <c r="FH259" s="95"/>
      <c r="FI259" s="95"/>
      <c r="FJ259" s="95"/>
      <c r="FK259" s="95"/>
      <c r="FL259" s="95"/>
      <c r="FM259" s="95"/>
      <c r="FN259" s="95"/>
      <c r="FO259" s="95"/>
      <c r="FP259" s="95"/>
      <c r="FQ259" s="95"/>
      <c r="FR259" s="95"/>
      <c r="FS259" s="95"/>
      <c r="FT259" s="95"/>
      <c r="FU259" s="95"/>
      <c r="FV259" s="95"/>
      <c r="FW259" s="95"/>
      <c r="FX259" s="95"/>
      <c r="FY259" s="95"/>
      <c r="FZ259" s="95"/>
      <c r="GA259" s="95"/>
      <c r="GB259" s="95"/>
      <c r="GC259" s="95"/>
      <c r="GD259" s="95"/>
      <c r="GE259" s="95"/>
      <c r="GF259" s="95"/>
      <c r="GG259" s="95"/>
      <c r="GH259" s="95"/>
      <c r="GI259" s="95"/>
      <c r="GJ259" s="95"/>
      <c r="GK259" s="95"/>
      <c r="GL259" s="95"/>
      <c r="GM259" s="95"/>
      <c r="GN259" s="95"/>
      <c r="GO259" s="95"/>
      <c r="GP259" s="95"/>
      <c r="GQ259" s="95"/>
      <c r="GR259" s="95"/>
      <c r="GS259" s="95"/>
      <c r="GT259" s="95"/>
      <c r="GU259" s="95"/>
      <c r="GV259" s="95"/>
      <c r="GW259" s="95"/>
      <c r="GX259" s="95"/>
      <c r="GY259" s="95"/>
      <c r="GZ259" s="95"/>
      <c r="HA259" s="95"/>
      <c r="HB259" s="95"/>
      <c r="HC259" s="95"/>
      <c r="HD259" s="95"/>
      <c r="HE259" s="95"/>
      <c r="HF259" s="95"/>
      <c r="HG259" s="95"/>
      <c r="HH259" s="95"/>
      <c r="HI259" s="95"/>
      <c r="HJ259" s="95"/>
      <c r="HK259" s="95"/>
      <c r="HL259" s="95"/>
      <c r="HM259" s="95"/>
      <c r="HN259" s="95"/>
      <c r="HO259" s="95"/>
      <c r="HP259" s="95"/>
      <c r="HQ259" s="95"/>
      <c r="HR259" s="95"/>
      <c r="HS259" s="95"/>
      <c r="HT259" s="95"/>
      <c r="HU259" s="95"/>
      <c r="HV259" s="95"/>
      <c r="HW259" s="95"/>
      <c r="HX259" s="95"/>
      <c r="HY259" s="95"/>
      <c r="HZ259" s="95"/>
      <c r="IA259" s="95"/>
      <c r="IB259" s="95"/>
      <c r="IC259" s="95"/>
      <c r="ID259" s="95"/>
      <c r="IE259" s="95"/>
      <c r="IF259" s="95"/>
      <c r="IG259" s="95"/>
      <c r="IH259" s="95"/>
      <c r="II259" s="95"/>
      <c r="IJ259" s="95"/>
      <c r="IK259" s="95"/>
      <c r="IL259" s="95"/>
      <c r="IM259" s="95"/>
      <c r="IN259" s="95"/>
      <c r="IO259" s="95"/>
      <c r="IP259" s="95"/>
      <c r="IQ259" s="95"/>
      <c r="IR259" s="95"/>
      <c r="IS259" s="95"/>
      <c r="IT259" s="95"/>
      <c r="IU259" s="95"/>
      <c r="IV259" s="95"/>
      <c r="IW259" s="95"/>
      <c r="IX259" s="95"/>
    </row>
    <row r="260" spans="1:258" s="94" customFormat="1" ht="18" customHeight="1">
      <c r="A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c r="AE260" s="95"/>
      <c r="AF260" s="95"/>
      <c r="AG260" s="95"/>
      <c r="AH260" s="95"/>
      <c r="AI260" s="95"/>
      <c r="AJ260" s="95"/>
      <c r="AK260" s="95"/>
      <c r="AL260" s="95"/>
      <c r="AM260" s="95"/>
      <c r="AN260" s="95"/>
      <c r="AO260" s="95"/>
      <c r="AP260" s="95"/>
      <c r="AQ260" s="95"/>
      <c r="AR260" s="95"/>
      <c r="AS260" s="95"/>
      <c r="AT260" s="95"/>
      <c r="AU260" s="95"/>
      <c r="AV260" s="95"/>
      <c r="AW260" s="95"/>
      <c r="AX260" s="95"/>
      <c r="AY260" s="95"/>
      <c r="AZ260" s="95"/>
      <c r="BA260" s="95"/>
      <c r="BB260" s="95"/>
      <c r="BC260" s="95"/>
      <c r="BD260" s="95"/>
      <c r="BE260" s="95"/>
      <c r="BF260" s="95"/>
      <c r="BG260" s="95"/>
      <c r="BH260" s="95"/>
      <c r="BI260" s="95"/>
      <c r="BJ260" s="95"/>
      <c r="BK260" s="95"/>
      <c r="BL260" s="95"/>
      <c r="BM260" s="95"/>
      <c r="BN260" s="95"/>
      <c r="BO260" s="95"/>
      <c r="BP260" s="95"/>
      <c r="BQ260" s="95"/>
      <c r="BR260" s="95"/>
      <c r="BS260" s="95"/>
      <c r="BT260" s="95"/>
      <c r="BU260" s="95"/>
      <c r="BV260" s="95"/>
      <c r="BW260" s="95"/>
      <c r="BX260" s="95"/>
      <c r="BY260" s="95"/>
      <c r="BZ260" s="95"/>
      <c r="CA260" s="95"/>
      <c r="CB260" s="95"/>
      <c r="CC260" s="95"/>
      <c r="CD260" s="95"/>
      <c r="CE260" s="95"/>
      <c r="CF260" s="95"/>
      <c r="CG260" s="95"/>
      <c r="CH260" s="95"/>
      <c r="CI260" s="95"/>
      <c r="CJ260" s="95"/>
      <c r="CK260" s="95"/>
      <c r="CL260" s="95"/>
      <c r="CM260" s="95"/>
      <c r="CN260" s="95"/>
      <c r="CO260" s="95"/>
      <c r="CP260" s="95"/>
      <c r="CQ260" s="95"/>
      <c r="CR260" s="95"/>
      <c r="CS260" s="95"/>
      <c r="CT260" s="95"/>
      <c r="CU260" s="95"/>
      <c r="CV260" s="95"/>
      <c r="CW260" s="95"/>
      <c r="CX260" s="95"/>
      <c r="CY260" s="95"/>
      <c r="CZ260" s="95"/>
      <c r="DA260" s="95"/>
      <c r="DB260" s="95"/>
      <c r="DC260" s="95"/>
      <c r="DD260" s="95"/>
      <c r="DE260" s="95"/>
      <c r="DF260" s="95"/>
      <c r="DG260" s="95"/>
      <c r="DH260" s="95"/>
      <c r="DI260" s="95"/>
      <c r="DJ260" s="95"/>
      <c r="DK260" s="95"/>
      <c r="DL260" s="95"/>
      <c r="DM260" s="95"/>
      <c r="DN260" s="95"/>
      <c r="DO260" s="95"/>
      <c r="DP260" s="95"/>
      <c r="DQ260" s="95"/>
      <c r="DR260" s="95"/>
      <c r="DS260" s="95"/>
      <c r="DT260" s="95"/>
      <c r="DU260" s="95"/>
      <c r="DV260" s="95"/>
      <c r="DW260" s="95"/>
      <c r="DX260" s="95"/>
      <c r="DY260" s="95"/>
      <c r="DZ260" s="95"/>
      <c r="EA260" s="95"/>
      <c r="EB260" s="95"/>
      <c r="EC260" s="95"/>
      <c r="ED260" s="95"/>
      <c r="EE260" s="95"/>
      <c r="EF260" s="95"/>
      <c r="EG260" s="95"/>
      <c r="EH260" s="95"/>
      <c r="EI260" s="95"/>
      <c r="EJ260" s="95"/>
      <c r="EK260" s="95"/>
      <c r="EL260" s="95"/>
      <c r="EM260" s="95"/>
      <c r="EN260" s="95"/>
      <c r="EO260" s="95"/>
      <c r="EP260" s="95"/>
      <c r="EQ260" s="95"/>
      <c r="ER260" s="95"/>
      <c r="ES260" s="95"/>
      <c r="ET260" s="95"/>
      <c r="EU260" s="95"/>
      <c r="EV260" s="95"/>
      <c r="EW260" s="95"/>
      <c r="EX260" s="95"/>
      <c r="EY260" s="95"/>
      <c r="EZ260" s="95"/>
      <c r="FA260" s="95"/>
      <c r="FB260" s="95"/>
      <c r="FC260" s="95"/>
      <c r="FD260" s="95"/>
      <c r="FE260" s="95"/>
      <c r="FF260" s="95"/>
      <c r="FG260" s="95"/>
      <c r="FH260" s="95"/>
      <c r="FI260" s="95"/>
      <c r="FJ260" s="95"/>
      <c r="FK260" s="95"/>
      <c r="FL260" s="95"/>
      <c r="FM260" s="95"/>
      <c r="FN260" s="95"/>
      <c r="FO260" s="95"/>
      <c r="FP260" s="95"/>
      <c r="FQ260" s="95"/>
      <c r="FR260" s="95"/>
      <c r="FS260" s="95"/>
      <c r="FT260" s="95"/>
      <c r="FU260" s="95"/>
      <c r="FV260" s="95"/>
      <c r="FW260" s="95"/>
      <c r="FX260" s="95"/>
      <c r="FY260" s="95"/>
      <c r="FZ260" s="95"/>
      <c r="GA260" s="95"/>
      <c r="GB260" s="95"/>
      <c r="GC260" s="95"/>
      <c r="GD260" s="95"/>
      <c r="GE260" s="95"/>
      <c r="GF260" s="95"/>
      <c r="GG260" s="95"/>
      <c r="GH260" s="95"/>
      <c r="GI260" s="95"/>
      <c r="GJ260" s="95"/>
      <c r="GK260" s="95"/>
      <c r="GL260" s="95"/>
      <c r="GM260" s="95"/>
      <c r="GN260" s="95"/>
      <c r="GO260" s="95"/>
      <c r="GP260" s="95"/>
      <c r="GQ260" s="95"/>
      <c r="GR260" s="95"/>
      <c r="GS260" s="95"/>
      <c r="GT260" s="95"/>
      <c r="GU260" s="95"/>
      <c r="GV260" s="95"/>
      <c r="GW260" s="95"/>
      <c r="GX260" s="95"/>
      <c r="GY260" s="95"/>
      <c r="GZ260" s="95"/>
      <c r="HA260" s="95"/>
      <c r="HB260" s="95"/>
      <c r="HC260" s="95"/>
      <c r="HD260" s="95"/>
      <c r="HE260" s="95"/>
      <c r="HF260" s="95"/>
      <c r="HG260" s="95"/>
      <c r="HH260" s="95"/>
      <c r="HI260" s="95"/>
      <c r="HJ260" s="95"/>
      <c r="HK260" s="95"/>
      <c r="HL260" s="95"/>
      <c r="HM260" s="95"/>
      <c r="HN260" s="95"/>
      <c r="HO260" s="95"/>
      <c r="HP260" s="95"/>
      <c r="HQ260" s="95"/>
      <c r="HR260" s="95"/>
      <c r="HS260" s="95"/>
      <c r="HT260" s="95"/>
      <c r="HU260" s="95"/>
      <c r="HV260" s="95"/>
      <c r="HW260" s="95"/>
      <c r="HX260" s="95"/>
      <c r="HY260" s="95"/>
      <c r="HZ260" s="95"/>
      <c r="IA260" s="95"/>
      <c r="IB260" s="95"/>
      <c r="IC260" s="95"/>
      <c r="ID260" s="95"/>
      <c r="IE260" s="95"/>
      <c r="IF260" s="95"/>
      <c r="IG260" s="95"/>
      <c r="IH260" s="95"/>
      <c r="II260" s="95"/>
      <c r="IJ260" s="95"/>
      <c r="IK260" s="95"/>
      <c r="IL260" s="95"/>
      <c r="IM260" s="95"/>
      <c r="IN260" s="95"/>
      <c r="IO260" s="95"/>
      <c r="IP260" s="95"/>
      <c r="IQ260" s="95"/>
      <c r="IR260" s="95"/>
      <c r="IS260" s="95"/>
      <c r="IT260" s="95"/>
      <c r="IU260" s="95"/>
      <c r="IV260" s="95"/>
      <c r="IW260" s="95"/>
      <c r="IX260" s="95"/>
    </row>
    <row r="261" spans="1:258" s="94" customFormat="1" ht="18" customHeight="1">
      <c r="A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c r="AE261" s="95"/>
      <c r="AF261" s="95"/>
      <c r="AG261" s="95"/>
      <c r="AH261" s="95"/>
      <c r="AI261" s="95"/>
      <c r="AJ261" s="95"/>
      <c r="AK261" s="95"/>
      <c r="AL261" s="95"/>
      <c r="AM261" s="95"/>
      <c r="AN261" s="95"/>
      <c r="AO261" s="95"/>
      <c r="AP261" s="95"/>
      <c r="AQ261" s="95"/>
      <c r="AR261" s="95"/>
      <c r="AS261" s="95"/>
      <c r="AT261" s="95"/>
      <c r="AU261" s="95"/>
      <c r="AV261" s="95"/>
      <c r="AW261" s="95"/>
      <c r="AX261" s="95"/>
      <c r="AY261" s="95"/>
      <c r="AZ261" s="95"/>
      <c r="BA261" s="95"/>
      <c r="BB261" s="95"/>
      <c r="BC261" s="95"/>
      <c r="BD261" s="95"/>
      <c r="BE261" s="95"/>
      <c r="BF261" s="95"/>
      <c r="BG261" s="95"/>
      <c r="BH261" s="95"/>
      <c r="BI261" s="95"/>
      <c r="BJ261" s="95"/>
      <c r="BK261" s="95"/>
      <c r="BL261" s="95"/>
      <c r="BM261" s="95"/>
      <c r="BN261" s="95"/>
      <c r="BO261" s="95"/>
      <c r="BP261" s="95"/>
      <c r="BQ261" s="95"/>
      <c r="BR261" s="95"/>
      <c r="BS261" s="95"/>
      <c r="BT261" s="95"/>
      <c r="BU261" s="95"/>
      <c r="BV261" s="95"/>
      <c r="BW261" s="95"/>
      <c r="BX261" s="95"/>
      <c r="BY261" s="95"/>
      <c r="BZ261" s="95"/>
      <c r="CA261" s="95"/>
      <c r="CB261" s="95"/>
      <c r="CC261" s="95"/>
      <c r="CD261" s="95"/>
      <c r="CE261" s="95"/>
      <c r="CF261" s="95"/>
      <c r="CG261" s="95"/>
      <c r="CH261" s="95"/>
      <c r="CI261" s="95"/>
      <c r="CJ261" s="95"/>
      <c r="CK261" s="95"/>
      <c r="CL261" s="95"/>
      <c r="CM261" s="95"/>
      <c r="CN261" s="95"/>
      <c r="CO261" s="95"/>
      <c r="CP261" s="95"/>
      <c r="CQ261" s="95"/>
      <c r="CR261" s="95"/>
      <c r="CS261" s="95"/>
      <c r="CT261" s="95"/>
      <c r="CU261" s="95"/>
      <c r="CV261" s="95"/>
      <c r="CW261" s="95"/>
      <c r="CX261" s="95"/>
      <c r="CY261" s="95"/>
      <c r="CZ261" s="95"/>
      <c r="DA261" s="95"/>
      <c r="DB261" s="95"/>
      <c r="DC261" s="95"/>
      <c r="DD261" s="95"/>
      <c r="DE261" s="95"/>
      <c r="DF261" s="95"/>
      <c r="DG261" s="95"/>
      <c r="DH261" s="95"/>
      <c r="DI261" s="95"/>
      <c r="DJ261" s="95"/>
      <c r="DK261" s="95"/>
      <c r="DL261" s="95"/>
      <c r="DM261" s="95"/>
      <c r="DN261" s="95"/>
      <c r="DO261" s="95"/>
      <c r="DP261" s="95"/>
      <c r="DQ261" s="95"/>
      <c r="DR261" s="95"/>
      <c r="DS261" s="95"/>
      <c r="DT261" s="95"/>
      <c r="DU261" s="95"/>
      <c r="DV261" s="95"/>
      <c r="DW261" s="95"/>
      <c r="DX261" s="95"/>
      <c r="DY261" s="95"/>
      <c r="DZ261" s="95"/>
      <c r="EA261" s="95"/>
      <c r="EB261" s="95"/>
      <c r="EC261" s="95"/>
      <c r="ED261" s="95"/>
      <c r="EE261" s="95"/>
      <c r="EF261" s="95"/>
      <c r="EG261" s="95"/>
      <c r="EH261" s="95"/>
      <c r="EI261" s="95"/>
      <c r="EJ261" s="95"/>
      <c r="EK261" s="95"/>
      <c r="EL261" s="95"/>
      <c r="EM261" s="95"/>
      <c r="EN261" s="95"/>
      <c r="EO261" s="95"/>
      <c r="EP261" s="95"/>
      <c r="EQ261" s="95"/>
      <c r="ER261" s="95"/>
      <c r="ES261" s="95"/>
      <c r="ET261" s="95"/>
      <c r="EU261" s="95"/>
      <c r="EV261" s="95"/>
      <c r="EW261" s="95"/>
      <c r="EX261" s="95"/>
      <c r="EY261" s="95"/>
      <c r="EZ261" s="95"/>
      <c r="FA261" s="95"/>
      <c r="FB261" s="95"/>
      <c r="FC261" s="95"/>
      <c r="FD261" s="95"/>
      <c r="FE261" s="95"/>
      <c r="FF261" s="95"/>
      <c r="FG261" s="95"/>
      <c r="FH261" s="95"/>
      <c r="FI261" s="95"/>
      <c r="FJ261" s="95"/>
      <c r="FK261" s="95"/>
      <c r="FL261" s="95"/>
      <c r="FM261" s="95"/>
      <c r="FN261" s="95"/>
      <c r="FO261" s="95"/>
      <c r="FP261" s="95"/>
      <c r="FQ261" s="95"/>
      <c r="FR261" s="95"/>
      <c r="FS261" s="95"/>
      <c r="FT261" s="95"/>
      <c r="FU261" s="95"/>
      <c r="FV261" s="95"/>
      <c r="FW261" s="95"/>
      <c r="FX261" s="95"/>
      <c r="FY261" s="95"/>
      <c r="FZ261" s="95"/>
      <c r="GA261" s="95"/>
      <c r="GB261" s="95"/>
      <c r="GC261" s="95"/>
      <c r="GD261" s="95"/>
      <c r="GE261" s="95"/>
      <c r="GF261" s="95"/>
      <c r="GG261" s="95"/>
      <c r="GH261" s="95"/>
      <c r="GI261" s="95"/>
      <c r="GJ261" s="95"/>
      <c r="GK261" s="95"/>
      <c r="GL261" s="95"/>
      <c r="GM261" s="95"/>
      <c r="GN261" s="95"/>
      <c r="GO261" s="95"/>
      <c r="GP261" s="95"/>
      <c r="GQ261" s="95"/>
      <c r="GR261" s="95"/>
      <c r="GS261" s="95"/>
      <c r="GT261" s="95"/>
      <c r="GU261" s="95"/>
      <c r="GV261" s="95"/>
      <c r="GW261" s="95"/>
      <c r="GX261" s="95"/>
      <c r="GY261" s="95"/>
      <c r="GZ261" s="95"/>
      <c r="HA261" s="95"/>
      <c r="HB261" s="95"/>
      <c r="HC261" s="95"/>
      <c r="HD261" s="95"/>
      <c r="HE261" s="95"/>
      <c r="HF261" s="95"/>
      <c r="HG261" s="95"/>
      <c r="HH261" s="95"/>
      <c r="HI261" s="95"/>
      <c r="HJ261" s="95"/>
      <c r="HK261" s="95"/>
      <c r="HL261" s="95"/>
      <c r="HM261" s="95"/>
      <c r="HN261" s="95"/>
      <c r="HO261" s="95"/>
      <c r="HP261" s="95"/>
      <c r="HQ261" s="95"/>
      <c r="HR261" s="95"/>
      <c r="HS261" s="95"/>
      <c r="HT261" s="95"/>
      <c r="HU261" s="95"/>
      <c r="HV261" s="95"/>
      <c r="HW261" s="95"/>
      <c r="HX261" s="95"/>
      <c r="HY261" s="95"/>
      <c r="HZ261" s="95"/>
      <c r="IA261" s="95"/>
      <c r="IB261" s="95"/>
      <c r="IC261" s="95"/>
      <c r="ID261" s="95"/>
      <c r="IE261" s="95"/>
      <c r="IF261" s="95"/>
      <c r="IG261" s="95"/>
      <c r="IH261" s="95"/>
      <c r="II261" s="95"/>
      <c r="IJ261" s="95"/>
      <c r="IK261" s="95"/>
      <c r="IL261" s="95"/>
      <c r="IM261" s="95"/>
      <c r="IN261" s="95"/>
      <c r="IO261" s="95"/>
      <c r="IP261" s="95"/>
      <c r="IQ261" s="95"/>
      <c r="IR261" s="95"/>
      <c r="IS261" s="95"/>
      <c r="IT261" s="95"/>
      <c r="IU261" s="95"/>
      <c r="IV261" s="95"/>
      <c r="IW261" s="95"/>
      <c r="IX261" s="95"/>
    </row>
    <row r="262" spans="1:258" s="94" customFormat="1" ht="18" customHeight="1">
      <c r="A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c r="AE262" s="95"/>
      <c r="AF262" s="95"/>
      <c r="AG262" s="95"/>
      <c r="AH262" s="95"/>
      <c r="AI262" s="95"/>
      <c r="AJ262" s="95"/>
      <c r="AK262" s="95"/>
      <c r="AL262" s="95"/>
      <c r="AM262" s="95"/>
      <c r="AN262" s="95"/>
      <c r="AO262" s="95"/>
      <c r="AP262" s="95"/>
      <c r="AQ262" s="95"/>
      <c r="AR262" s="95"/>
      <c r="AS262" s="95"/>
      <c r="AT262" s="95"/>
      <c r="AU262" s="95"/>
      <c r="AV262" s="95"/>
      <c r="AW262" s="95"/>
      <c r="AX262" s="95"/>
      <c r="AY262" s="95"/>
      <c r="AZ262" s="95"/>
      <c r="BA262" s="95"/>
      <c r="BB262" s="95"/>
      <c r="BC262" s="95"/>
      <c r="BD262" s="95"/>
      <c r="BE262" s="95"/>
      <c r="BF262" s="95"/>
      <c r="BG262" s="95"/>
      <c r="BH262" s="95"/>
      <c r="BI262" s="95"/>
      <c r="BJ262" s="95"/>
      <c r="BK262" s="95"/>
      <c r="BL262" s="95"/>
      <c r="BM262" s="95"/>
      <c r="BN262" s="95"/>
      <c r="BO262" s="95"/>
      <c r="BP262" s="95"/>
      <c r="BQ262" s="95"/>
      <c r="BR262" s="95"/>
      <c r="BS262" s="95"/>
      <c r="BT262" s="95"/>
      <c r="BU262" s="95"/>
      <c r="BV262" s="95"/>
      <c r="BW262" s="95"/>
      <c r="BX262" s="95"/>
      <c r="BY262" s="95"/>
      <c r="BZ262" s="95"/>
      <c r="CA262" s="95"/>
      <c r="CB262" s="95"/>
      <c r="CC262" s="95"/>
      <c r="CD262" s="95"/>
      <c r="CE262" s="95"/>
      <c r="CF262" s="95"/>
      <c r="CG262" s="95"/>
      <c r="CH262" s="95"/>
      <c r="CI262" s="95"/>
      <c r="CJ262" s="95"/>
      <c r="CK262" s="95"/>
      <c r="CL262" s="95"/>
      <c r="CM262" s="95"/>
      <c r="CN262" s="95"/>
      <c r="CO262" s="95"/>
      <c r="CP262" s="95"/>
      <c r="CQ262" s="95"/>
      <c r="CR262" s="95"/>
      <c r="CS262" s="95"/>
      <c r="CT262" s="95"/>
      <c r="CU262" s="95"/>
      <c r="CV262" s="95"/>
      <c r="CW262" s="95"/>
      <c r="CX262" s="95"/>
      <c r="CY262" s="95"/>
      <c r="CZ262" s="95"/>
      <c r="DA262" s="95"/>
      <c r="DB262" s="95"/>
      <c r="DC262" s="95"/>
      <c r="DD262" s="95"/>
      <c r="DE262" s="95"/>
      <c r="DF262" s="95"/>
      <c r="DG262" s="95"/>
      <c r="DH262" s="95"/>
      <c r="DI262" s="95"/>
      <c r="DJ262" s="95"/>
      <c r="DK262" s="95"/>
      <c r="DL262" s="95"/>
      <c r="DM262" s="95"/>
      <c r="DN262" s="95"/>
      <c r="DO262" s="95"/>
      <c r="DP262" s="95"/>
      <c r="DQ262" s="95"/>
      <c r="DR262" s="95"/>
      <c r="DS262" s="95"/>
      <c r="DT262" s="95"/>
      <c r="DU262" s="95"/>
      <c r="DV262" s="95"/>
      <c r="DW262" s="95"/>
      <c r="DX262" s="95"/>
      <c r="DY262" s="95"/>
      <c r="DZ262" s="95"/>
      <c r="EA262" s="95"/>
      <c r="EB262" s="95"/>
      <c r="EC262" s="95"/>
      <c r="ED262" s="95"/>
      <c r="EE262" s="95"/>
      <c r="EF262" s="95"/>
      <c r="EG262" s="95"/>
      <c r="EH262" s="95"/>
      <c r="EI262" s="95"/>
      <c r="EJ262" s="95"/>
      <c r="EK262" s="95"/>
      <c r="EL262" s="95"/>
      <c r="EM262" s="95"/>
      <c r="EN262" s="95"/>
      <c r="EO262" s="95"/>
      <c r="EP262" s="95"/>
      <c r="EQ262" s="95"/>
      <c r="ER262" s="95"/>
      <c r="ES262" s="95"/>
      <c r="ET262" s="95"/>
      <c r="EU262" s="95"/>
      <c r="EV262" s="95"/>
      <c r="EW262" s="95"/>
      <c r="EX262" s="95"/>
      <c r="EY262" s="95"/>
      <c r="EZ262" s="95"/>
      <c r="FA262" s="95"/>
      <c r="FB262" s="95"/>
      <c r="FC262" s="95"/>
      <c r="FD262" s="95"/>
      <c r="FE262" s="95"/>
      <c r="FF262" s="95"/>
      <c r="FG262" s="95"/>
      <c r="FH262" s="95"/>
      <c r="FI262" s="95"/>
      <c r="FJ262" s="95"/>
      <c r="FK262" s="95"/>
      <c r="FL262" s="95"/>
      <c r="FM262" s="95"/>
      <c r="FN262" s="95"/>
      <c r="FO262" s="95"/>
      <c r="FP262" s="95"/>
      <c r="FQ262" s="95"/>
      <c r="FR262" s="95"/>
      <c r="FS262" s="95"/>
      <c r="FT262" s="95"/>
      <c r="FU262" s="95"/>
      <c r="FV262" s="95"/>
      <c r="FW262" s="95"/>
      <c r="FX262" s="95"/>
      <c r="FY262" s="95"/>
      <c r="FZ262" s="95"/>
      <c r="GA262" s="95"/>
      <c r="GB262" s="95"/>
      <c r="GC262" s="95"/>
      <c r="GD262" s="95"/>
      <c r="GE262" s="95"/>
      <c r="GF262" s="95"/>
      <c r="GG262" s="95"/>
      <c r="GH262" s="95"/>
      <c r="GI262" s="95"/>
      <c r="GJ262" s="95"/>
      <c r="GK262" s="95"/>
      <c r="GL262" s="95"/>
      <c r="GM262" s="95"/>
      <c r="GN262" s="95"/>
      <c r="GO262" s="95"/>
      <c r="GP262" s="95"/>
      <c r="GQ262" s="95"/>
      <c r="GR262" s="95"/>
      <c r="GS262" s="95"/>
      <c r="GT262" s="95"/>
      <c r="GU262" s="95"/>
      <c r="GV262" s="95"/>
      <c r="GW262" s="95"/>
      <c r="GX262" s="95"/>
      <c r="GY262" s="95"/>
      <c r="GZ262" s="95"/>
      <c r="HA262" s="95"/>
      <c r="HB262" s="95"/>
      <c r="HC262" s="95"/>
      <c r="HD262" s="95"/>
      <c r="HE262" s="95"/>
      <c r="HF262" s="95"/>
      <c r="HG262" s="95"/>
      <c r="HH262" s="95"/>
      <c r="HI262" s="95"/>
      <c r="HJ262" s="95"/>
      <c r="HK262" s="95"/>
      <c r="HL262" s="95"/>
      <c r="HM262" s="95"/>
      <c r="HN262" s="95"/>
      <c r="HO262" s="95"/>
      <c r="HP262" s="95"/>
      <c r="HQ262" s="95"/>
      <c r="HR262" s="95"/>
      <c r="HS262" s="95"/>
      <c r="HT262" s="95"/>
      <c r="HU262" s="95"/>
      <c r="HV262" s="95"/>
      <c r="HW262" s="95"/>
      <c r="HX262" s="95"/>
      <c r="HY262" s="95"/>
      <c r="HZ262" s="95"/>
      <c r="IA262" s="95"/>
      <c r="IB262" s="95"/>
      <c r="IC262" s="95"/>
      <c r="ID262" s="95"/>
      <c r="IE262" s="95"/>
      <c r="IF262" s="95"/>
      <c r="IG262" s="95"/>
      <c r="IH262" s="95"/>
      <c r="II262" s="95"/>
      <c r="IJ262" s="95"/>
      <c r="IK262" s="95"/>
      <c r="IL262" s="95"/>
      <c r="IM262" s="95"/>
      <c r="IN262" s="95"/>
      <c r="IO262" s="95"/>
      <c r="IP262" s="95"/>
      <c r="IQ262" s="95"/>
      <c r="IR262" s="95"/>
      <c r="IS262" s="95"/>
      <c r="IT262" s="95"/>
      <c r="IU262" s="95"/>
      <c r="IV262" s="95"/>
      <c r="IW262" s="95"/>
      <c r="IX262" s="95"/>
    </row>
    <row r="263" spans="1:258" s="94" customFormat="1" ht="18" customHeight="1">
      <c r="A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c r="AE263" s="95"/>
      <c r="AF263" s="95"/>
      <c r="AG263" s="95"/>
      <c r="AH263" s="95"/>
      <c r="AI263" s="95"/>
      <c r="AJ263" s="95"/>
      <c r="AK263" s="95"/>
      <c r="AL263" s="95"/>
      <c r="AM263" s="95"/>
      <c r="AN263" s="95"/>
      <c r="AO263" s="95"/>
      <c r="AP263" s="95"/>
      <c r="AQ263" s="95"/>
      <c r="AR263" s="95"/>
      <c r="AS263" s="95"/>
      <c r="AT263" s="95"/>
      <c r="AU263" s="95"/>
      <c r="AV263" s="95"/>
      <c r="AW263" s="95"/>
      <c r="AX263" s="95"/>
      <c r="AY263" s="95"/>
      <c r="AZ263" s="95"/>
      <c r="BA263" s="95"/>
      <c r="BB263" s="95"/>
      <c r="BC263" s="95"/>
      <c r="BD263" s="95"/>
      <c r="BE263" s="95"/>
      <c r="BF263" s="95"/>
      <c r="BG263" s="95"/>
      <c r="BH263" s="95"/>
      <c r="BI263" s="95"/>
      <c r="BJ263" s="95"/>
      <c r="BK263" s="95"/>
      <c r="BL263" s="95"/>
      <c r="BM263" s="95"/>
      <c r="BN263" s="95"/>
      <c r="BO263" s="95"/>
      <c r="BP263" s="95"/>
      <c r="BQ263" s="95"/>
      <c r="BR263" s="95"/>
      <c r="BS263" s="95"/>
      <c r="BT263" s="95"/>
      <c r="BU263" s="95"/>
      <c r="BV263" s="95"/>
      <c r="BW263" s="95"/>
      <c r="BX263" s="95"/>
      <c r="BY263" s="95"/>
      <c r="BZ263" s="95"/>
      <c r="CA263" s="95"/>
      <c r="CB263" s="95"/>
      <c r="CC263" s="95"/>
      <c r="CD263" s="95"/>
      <c r="CE263" s="95"/>
      <c r="CF263" s="95"/>
      <c r="CG263" s="95"/>
      <c r="CH263" s="95"/>
      <c r="CI263" s="95"/>
      <c r="CJ263" s="95"/>
      <c r="CK263" s="95"/>
      <c r="CL263" s="95"/>
      <c r="CM263" s="95"/>
      <c r="CN263" s="95"/>
      <c r="CO263" s="95"/>
      <c r="CP263" s="95"/>
      <c r="CQ263" s="95"/>
      <c r="CR263" s="95"/>
      <c r="CS263" s="95"/>
      <c r="CT263" s="95"/>
      <c r="CU263" s="95"/>
      <c r="CV263" s="95"/>
      <c r="CW263" s="95"/>
      <c r="CX263" s="95"/>
      <c r="CY263" s="95"/>
      <c r="CZ263" s="95"/>
      <c r="DA263" s="95"/>
      <c r="DB263" s="95"/>
      <c r="DC263" s="95"/>
      <c r="DD263" s="95"/>
      <c r="DE263" s="95"/>
      <c r="DF263" s="95"/>
      <c r="DG263" s="95"/>
      <c r="DH263" s="95"/>
      <c r="DI263" s="95"/>
      <c r="DJ263" s="95"/>
      <c r="DK263" s="95"/>
      <c r="DL263" s="95"/>
      <c r="DM263" s="95"/>
      <c r="DN263" s="95"/>
      <c r="DO263" s="95"/>
      <c r="DP263" s="95"/>
      <c r="DQ263" s="95"/>
      <c r="DR263" s="95"/>
      <c r="DS263" s="95"/>
      <c r="DT263" s="95"/>
      <c r="DU263" s="95"/>
      <c r="DV263" s="95"/>
      <c r="DW263" s="95"/>
      <c r="DX263" s="95"/>
      <c r="DY263" s="95"/>
      <c r="DZ263" s="95"/>
      <c r="EA263" s="95"/>
      <c r="EB263" s="95"/>
      <c r="EC263" s="95"/>
      <c r="ED263" s="95"/>
      <c r="EE263" s="95"/>
      <c r="EF263" s="95"/>
      <c r="EG263" s="95"/>
      <c r="EH263" s="95"/>
      <c r="EI263" s="95"/>
      <c r="EJ263" s="95"/>
      <c r="EK263" s="95"/>
      <c r="EL263" s="95"/>
      <c r="EM263" s="95"/>
      <c r="EN263" s="95"/>
      <c r="EO263" s="95"/>
      <c r="EP263" s="95"/>
      <c r="EQ263" s="95"/>
      <c r="ER263" s="95"/>
      <c r="ES263" s="95"/>
      <c r="ET263" s="95"/>
      <c r="EU263" s="95"/>
      <c r="EV263" s="95"/>
      <c r="EW263" s="95"/>
      <c r="EX263" s="95"/>
      <c r="EY263" s="95"/>
      <c r="EZ263" s="95"/>
      <c r="FA263" s="95"/>
      <c r="FB263" s="95"/>
      <c r="FC263" s="95"/>
      <c r="FD263" s="95"/>
      <c r="FE263" s="95"/>
      <c r="FF263" s="95"/>
      <c r="FG263" s="95"/>
      <c r="FH263" s="95"/>
      <c r="FI263" s="95"/>
      <c r="FJ263" s="95"/>
      <c r="FK263" s="95"/>
      <c r="FL263" s="95"/>
      <c r="FM263" s="95"/>
      <c r="FN263" s="95"/>
      <c r="FO263" s="95"/>
      <c r="FP263" s="95"/>
      <c r="FQ263" s="95"/>
      <c r="FR263" s="95"/>
      <c r="FS263" s="95"/>
      <c r="FT263" s="95"/>
      <c r="FU263" s="95"/>
      <c r="FV263" s="95"/>
      <c r="FW263" s="95"/>
      <c r="FX263" s="95"/>
      <c r="FY263" s="95"/>
      <c r="FZ263" s="95"/>
      <c r="GA263" s="95"/>
      <c r="GB263" s="95"/>
      <c r="GC263" s="95"/>
      <c r="GD263" s="95"/>
      <c r="GE263" s="95"/>
      <c r="GF263" s="95"/>
      <c r="GG263" s="95"/>
      <c r="GH263" s="95"/>
      <c r="GI263" s="95"/>
      <c r="GJ263" s="95"/>
      <c r="GK263" s="95"/>
      <c r="GL263" s="95"/>
      <c r="GM263" s="95"/>
      <c r="GN263" s="95"/>
      <c r="GO263" s="95"/>
      <c r="GP263" s="95"/>
      <c r="GQ263" s="95"/>
      <c r="GR263" s="95"/>
      <c r="GS263" s="95"/>
      <c r="GT263" s="95"/>
      <c r="GU263" s="95"/>
      <c r="GV263" s="95"/>
      <c r="GW263" s="95"/>
      <c r="GX263" s="95"/>
      <c r="GY263" s="95"/>
      <c r="GZ263" s="95"/>
      <c r="HA263" s="95"/>
      <c r="HB263" s="95"/>
      <c r="HC263" s="95"/>
      <c r="HD263" s="95"/>
      <c r="HE263" s="95"/>
      <c r="HF263" s="95"/>
      <c r="HG263" s="95"/>
      <c r="HH263" s="95"/>
      <c r="HI263" s="95"/>
      <c r="HJ263" s="95"/>
      <c r="HK263" s="95"/>
      <c r="HL263" s="95"/>
      <c r="HM263" s="95"/>
      <c r="HN263" s="95"/>
      <c r="HO263" s="95"/>
      <c r="HP263" s="95"/>
      <c r="HQ263" s="95"/>
      <c r="HR263" s="95"/>
      <c r="HS263" s="95"/>
      <c r="HT263" s="95"/>
      <c r="HU263" s="95"/>
      <c r="HV263" s="95"/>
      <c r="HW263" s="95"/>
      <c r="HX263" s="95"/>
      <c r="HY263" s="95"/>
      <c r="HZ263" s="95"/>
      <c r="IA263" s="95"/>
      <c r="IB263" s="95"/>
      <c r="IC263" s="95"/>
      <c r="ID263" s="95"/>
      <c r="IE263" s="95"/>
      <c r="IF263" s="95"/>
      <c r="IG263" s="95"/>
      <c r="IH263" s="95"/>
      <c r="II263" s="95"/>
      <c r="IJ263" s="95"/>
      <c r="IK263" s="95"/>
      <c r="IL263" s="95"/>
      <c r="IM263" s="95"/>
      <c r="IN263" s="95"/>
      <c r="IO263" s="95"/>
      <c r="IP263" s="95"/>
      <c r="IQ263" s="95"/>
      <c r="IR263" s="95"/>
      <c r="IS263" s="95"/>
      <c r="IT263" s="95"/>
      <c r="IU263" s="95"/>
      <c r="IV263" s="95"/>
      <c r="IW263" s="95"/>
      <c r="IX263" s="95"/>
    </row>
    <row r="264" spans="1:258" s="94" customFormat="1" ht="18" customHeight="1">
      <c r="A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c r="AE264" s="95"/>
      <c r="AF264" s="95"/>
      <c r="AG264" s="95"/>
      <c r="AH264" s="95"/>
      <c r="AI264" s="95"/>
      <c r="AJ264" s="95"/>
      <c r="AK264" s="95"/>
      <c r="AL264" s="95"/>
      <c r="AM264" s="95"/>
      <c r="AN264" s="95"/>
      <c r="AO264" s="95"/>
      <c r="AP264" s="95"/>
      <c r="AQ264" s="95"/>
      <c r="AR264" s="95"/>
      <c r="AS264" s="95"/>
      <c r="AT264" s="95"/>
      <c r="AU264" s="95"/>
      <c r="AV264" s="95"/>
      <c r="AW264" s="95"/>
      <c r="AX264" s="95"/>
      <c r="AY264" s="95"/>
      <c r="AZ264" s="95"/>
      <c r="BA264" s="95"/>
      <c r="BB264" s="95"/>
      <c r="BC264" s="95"/>
      <c r="BD264" s="95"/>
      <c r="BE264" s="95"/>
      <c r="BF264" s="95"/>
      <c r="BG264" s="95"/>
      <c r="BH264" s="95"/>
      <c r="BI264" s="95"/>
      <c r="BJ264" s="95"/>
      <c r="BK264" s="95"/>
      <c r="BL264" s="95"/>
      <c r="BM264" s="95"/>
      <c r="BN264" s="95"/>
      <c r="BO264" s="95"/>
      <c r="BP264" s="95"/>
      <c r="BQ264" s="95"/>
      <c r="BR264" s="95"/>
      <c r="BS264" s="95"/>
      <c r="BT264" s="95"/>
      <c r="BU264" s="95"/>
      <c r="BV264" s="95"/>
      <c r="BW264" s="95"/>
      <c r="BX264" s="95"/>
      <c r="BY264" s="95"/>
      <c r="BZ264" s="95"/>
      <c r="CA264" s="95"/>
      <c r="CB264" s="95"/>
      <c r="CC264" s="95"/>
      <c r="CD264" s="95"/>
      <c r="CE264" s="95"/>
      <c r="CF264" s="95"/>
      <c r="CG264" s="95"/>
      <c r="CH264" s="95"/>
      <c r="CI264" s="95"/>
      <c r="CJ264" s="95"/>
      <c r="CK264" s="95"/>
      <c r="CL264" s="95"/>
      <c r="CM264" s="95"/>
      <c r="CN264" s="95"/>
      <c r="CO264" s="95"/>
      <c r="CP264" s="95"/>
      <c r="CQ264" s="95"/>
      <c r="CR264" s="95"/>
      <c r="CS264" s="95"/>
      <c r="CT264" s="95"/>
      <c r="CU264" s="95"/>
      <c r="CV264" s="95"/>
      <c r="CW264" s="95"/>
      <c r="CX264" s="95"/>
      <c r="CY264" s="95"/>
      <c r="CZ264" s="95"/>
      <c r="DA264" s="95"/>
      <c r="DB264" s="95"/>
      <c r="DC264" s="95"/>
      <c r="DD264" s="95"/>
      <c r="DE264" s="95"/>
      <c r="DF264" s="95"/>
      <c r="DG264" s="95"/>
      <c r="DH264" s="95"/>
      <c r="DI264" s="95"/>
      <c r="DJ264" s="95"/>
      <c r="DK264" s="95"/>
      <c r="DL264" s="95"/>
      <c r="DM264" s="95"/>
      <c r="DN264" s="95"/>
      <c r="DO264" s="95"/>
      <c r="DP264" s="95"/>
      <c r="DQ264" s="95"/>
      <c r="DR264" s="95"/>
      <c r="DS264" s="95"/>
      <c r="DT264" s="95"/>
      <c r="DU264" s="95"/>
      <c r="DV264" s="95"/>
      <c r="DW264" s="95"/>
      <c r="DX264" s="95"/>
      <c r="DY264" s="95"/>
      <c r="DZ264" s="95"/>
      <c r="EA264" s="95"/>
      <c r="EB264" s="95"/>
      <c r="EC264" s="95"/>
      <c r="ED264" s="95"/>
      <c r="EE264" s="95"/>
      <c r="EF264" s="95"/>
      <c r="EG264" s="95"/>
      <c r="EH264" s="95"/>
      <c r="EI264" s="95"/>
      <c r="EJ264" s="95"/>
      <c r="EK264" s="95"/>
      <c r="EL264" s="95"/>
      <c r="EM264" s="95"/>
      <c r="EN264" s="95"/>
      <c r="EO264" s="95"/>
      <c r="EP264" s="95"/>
      <c r="EQ264" s="95"/>
      <c r="ER264" s="95"/>
      <c r="ES264" s="95"/>
      <c r="ET264" s="95"/>
      <c r="EU264" s="95"/>
      <c r="EV264" s="95"/>
      <c r="EW264" s="95"/>
      <c r="EX264" s="95"/>
      <c r="EY264" s="95"/>
      <c r="EZ264" s="95"/>
      <c r="FA264" s="95"/>
      <c r="FB264" s="95"/>
      <c r="FC264" s="95"/>
      <c r="FD264" s="95"/>
      <c r="FE264" s="95"/>
      <c r="FF264" s="95"/>
      <c r="FG264" s="95"/>
      <c r="FH264" s="95"/>
      <c r="FI264" s="95"/>
      <c r="FJ264" s="95"/>
      <c r="FK264" s="95"/>
      <c r="FL264" s="95"/>
      <c r="FM264" s="95"/>
      <c r="FN264" s="95"/>
      <c r="FO264" s="95"/>
      <c r="FP264" s="95"/>
      <c r="FQ264" s="95"/>
      <c r="FR264" s="95"/>
      <c r="FS264" s="95"/>
      <c r="FT264" s="95"/>
      <c r="FU264" s="95"/>
      <c r="FV264" s="95"/>
      <c r="FW264" s="95"/>
      <c r="FX264" s="95"/>
      <c r="FY264" s="95"/>
      <c r="FZ264" s="95"/>
      <c r="GA264" s="95"/>
      <c r="GB264" s="95"/>
      <c r="GC264" s="95"/>
      <c r="GD264" s="95"/>
      <c r="GE264" s="95"/>
      <c r="GF264" s="95"/>
      <c r="GG264" s="95"/>
      <c r="GH264" s="95"/>
      <c r="GI264" s="95"/>
      <c r="GJ264" s="95"/>
      <c r="GK264" s="95"/>
      <c r="GL264" s="95"/>
      <c r="GM264" s="95"/>
      <c r="GN264" s="95"/>
      <c r="GO264" s="95"/>
      <c r="GP264" s="95"/>
      <c r="GQ264" s="95"/>
      <c r="GR264" s="95"/>
      <c r="GS264" s="95"/>
      <c r="GT264" s="95"/>
      <c r="GU264" s="95"/>
      <c r="GV264" s="95"/>
      <c r="GW264" s="95"/>
      <c r="GX264" s="95"/>
      <c r="GY264" s="95"/>
      <c r="GZ264" s="95"/>
      <c r="HA264" s="95"/>
      <c r="HB264" s="95"/>
      <c r="HC264" s="95"/>
      <c r="HD264" s="95"/>
      <c r="HE264" s="95"/>
      <c r="HF264" s="95"/>
      <c r="HG264" s="95"/>
      <c r="HH264" s="95"/>
      <c r="HI264" s="95"/>
      <c r="HJ264" s="95"/>
      <c r="HK264" s="95"/>
      <c r="HL264" s="95"/>
      <c r="HM264" s="95"/>
      <c r="HN264" s="95"/>
      <c r="HO264" s="95"/>
      <c r="HP264" s="95"/>
      <c r="HQ264" s="95"/>
      <c r="HR264" s="95"/>
      <c r="HS264" s="95"/>
      <c r="HT264" s="95"/>
      <c r="HU264" s="95"/>
      <c r="HV264" s="95"/>
      <c r="HW264" s="95"/>
      <c r="HX264" s="95"/>
      <c r="HY264" s="95"/>
      <c r="HZ264" s="95"/>
      <c r="IA264" s="95"/>
      <c r="IB264" s="95"/>
      <c r="IC264" s="95"/>
      <c r="ID264" s="95"/>
      <c r="IE264" s="95"/>
      <c r="IF264" s="95"/>
      <c r="IG264" s="95"/>
      <c r="IH264" s="95"/>
      <c r="II264" s="95"/>
      <c r="IJ264" s="95"/>
      <c r="IK264" s="95"/>
      <c r="IL264" s="95"/>
      <c r="IM264" s="95"/>
      <c r="IN264" s="95"/>
      <c r="IO264" s="95"/>
      <c r="IP264" s="95"/>
      <c r="IQ264" s="95"/>
      <c r="IR264" s="95"/>
      <c r="IS264" s="95"/>
      <c r="IT264" s="95"/>
      <c r="IU264" s="95"/>
      <c r="IV264" s="95"/>
      <c r="IW264" s="95"/>
      <c r="IX264" s="95"/>
    </row>
    <row r="265" spans="1:258" s="94" customFormat="1" ht="18" customHeight="1">
      <c r="A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c r="AE265" s="95"/>
      <c r="AF265" s="95"/>
      <c r="AG265" s="95"/>
      <c r="AH265" s="95"/>
      <c r="AI265" s="95"/>
      <c r="AJ265" s="95"/>
      <c r="AK265" s="95"/>
      <c r="AL265" s="95"/>
      <c r="AM265" s="95"/>
      <c r="AN265" s="95"/>
      <c r="AO265" s="95"/>
      <c r="AP265" s="95"/>
      <c r="AQ265" s="95"/>
      <c r="AR265" s="95"/>
      <c r="AS265" s="95"/>
      <c r="AT265" s="95"/>
      <c r="AU265" s="95"/>
      <c r="AV265" s="95"/>
      <c r="AW265" s="95"/>
      <c r="AX265" s="95"/>
      <c r="AY265" s="95"/>
      <c r="AZ265" s="95"/>
      <c r="BA265" s="95"/>
      <c r="BB265" s="95"/>
      <c r="BC265" s="95"/>
      <c r="BD265" s="95"/>
      <c r="BE265" s="95"/>
      <c r="BF265" s="95"/>
      <c r="BG265" s="95"/>
      <c r="BH265" s="95"/>
      <c r="BI265" s="95"/>
      <c r="BJ265" s="95"/>
      <c r="BK265" s="95"/>
      <c r="BL265" s="95"/>
      <c r="BM265" s="95"/>
      <c r="BN265" s="95"/>
      <c r="BO265" s="95"/>
      <c r="BP265" s="95"/>
      <c r="BQ265" s="95"/>
      <c r="BR265" s="95"/>
      <c r="BS265" s="95"/>
      <c r="BT265" s="95"/>
      <c r="BU265" s="95"/>
      <c r="BV265" s="95"/>
      <c r="BW265" s="95"/>
      <c r="BX265" s="95"/>
      <c r="BY265" s="95"/>
      <c r="BZ265" s="95"/>
      <c r="CA265" s="95"/>
      <c r="CB265" s="95"/>
      <c r="CC265" s="95"/>
      <c r="CD265" s="95"/>
      <c r="CE265" s="95"/>
      <c r="CF265" s="95"/>
      <c r="CG265" s="95"/>
      <c r="CH265" s="95"/>
      <c r="CI265" s="95"/>
      <c r="CJ265" s="95"/>
      <c r="CK265" s="95"/>
      <c r="CL265" s="95"/>
      <c r="CM265" s="95"/>
      <c r="CN265" s="95"/>
      <c r="CO265" s="95"/>
      <c r="CP265" s="95"/>
      <c r="CQ265" s="95"/>
      <c r="CR265" s="95"/>
      <c r="CS265" s="95"/>
      <c r="CT265" s="95"/>
      <c r="CU265" s="95"/>
      <c r="CV265" s="95"/>
      <c r="CW265" s="95"/>
      <c r="CX265" s="95"/>
      <c r="CY265" s="95"/>
      <c r="CZ265" s="95"/>
      <c r="DA265" s="95"/>
      <c r="DB265" s="95"/>
      <c r="DC265" s="95"/>
      <c r="DD265" s="95"/>
      <c r="DE265" s="95"/>
      <c r="DF265" s="95"/>
      <c r="DG265" s="95"/>
      <c r="DH265" s="95"/>
      <c r="DI265" s="95"/>
      <c r="DJ265" s="95"/>
      <c r="DK265" s="95"/>
      <c r="DL265" s="95"/>
      <c r="DM265" s="95"/>
      <c r="DN265" s="95"/>
      <c r="DO265" s="95"/>
      <c r="DP265" s="95"/>
      <c r="DQ265" s="95"/>
      <c r="DR265" s="95"/>
      <c r="DS265" s="95"/>
      <c r="DT265" s="95"/>
      <c r="DU265" s="95"/>
      <c r="DV265" s="95"/>
      <c r="DW265" s="95"/>
      <c r="DX265" s="95"/>
      <c r="DY265" s="95"/>
      <c r="DZ265" s="95"/>
      <c r="EA265" s="95"/>
      <c r="EB265" s="95"/>
      <c r="EC265" s="95"/>
      <c r="ED265" s="95"/>
      <c r="EE265" s="95"/>
      <c r="EF265" s="95"/>
      <c r="EG265" s="95"/>
      <c r="EH265" s="95"/>
      <c r="EI265" s="95"/>
      <c r="EJ265" s="95"/>
      <c r="EK265" s="95"/>
      <c r="EL265" s="95"/>
      <c r="EM265" s="95"/>
      <c r="EN265" s="95"/>
      <c r="EO265" s="95"/>
      <c r="EP265" s="95"/>
      <c r="EQ265" s="95"/>
      <c r="ER265" s="95"/>
      <c r="ES265" s="95"/>
      <c r="ET265" s="95"/>
      <c r="EU265" s="95"/>
      <c r="EV265" s="95"/>
      <c r="EW265" s="95"/>
      <c r="EX265" s="95"/>
      <c r="EY265" s="95"/>
      <c r="EZ265" s="95"/>
      <c r="FA265" s="95"/>
      <c r="FB265" s="95"/>
      <c r="FC265" s="95"/>
      <c r="FD265" s="95"/>
      <c r="FE265" s="95"/>
      <c r="FF265" s="95"/>
      <c r="FG265" s="95"/>
      <c r="FH265" s="95"/>
      <c r="FI265" s="95"/>
      <c r="FJ265" s="95"/>
      <c r="FK265" s="95"/>
      <c r="FL265" s="95"/>
      <c r="FM265" s="95"/>
      <c r="FN265" s="95"/>
      <c r="FO265" s="95"/>
      <c r="FP265" s="95"/>
      <c r="FQ265" s="95"/>
      <c r="FR265" s="95"/>
      <c r="FS265" s="95"/>
      <c r="FT265" s="95"/>
      <c r="FU265" s="95"/>
      <c r="FV265" s="95"/>
      <c r="FW265" s="95"/>
      <c r="FX265" s="95"/>
      <c r="FY265" s="95"/>
      <c r="FZ265" s="95"/>
      <c r="GA265" s="95"/>
      <c r="GB265" s="95"/>
      <c r="GC265" s="95"/>
      <c r="GD265" s="95"/>
      <c r="GE265" s="95"/>
      <c r="GF265" s="95"/>
      <c r="GG265" s="95"/>
      <c r="GH265" s="95"/>
      <c r="GI265" s="95"/>
      <c r="GJ265" s="95"/>
      <c r="GK265" s="95"/>
      <c r="GL265" s="95"/>
      <c r="GM265" s="95"/>
      <c r="GN265" s="95"/>
      <c r="GO265" s="95"/>
      <c r="GP265" s="95"/>
      <c r="GQ265" s="95"/>
      <c r="GR265" s="95"/>
      <c r="GS265" s="95"/>
      <c r="GT265" s="95"/>
      <c r="GU265" s="95"/>
      <c r="GV265" s="95"/>
      <c r="GW265" s="95"/>
      <c r="GX265" s="95"/>
      <c r="GY265" s="95"/>
      <c r="GZ265" s="95"/>
      <c r="HA265" s="95"/>
      <c r="HB265" s="95"/>
      <c r="HC265" s="95"/>
      <c r="HD265" s="95"/>
      <c r="HE265" s="95"/>
      <c r="HF265" s="95"/>
      <c r="HG265" s="95"/>
      <c r="HH265" s="95"/>
      <c r="HI265" s="95"/>
      <c r="HJ265" s="95"/>
      <c r="HK265" s="95"/>
      <c r="HL265" s="95"/>
      <c r="HM265" s="95"/>
      <c r="HN265" s="95"/>
      <c r="HO265" s="95"/>
      <c r="HP265" s="95"/>
      <c r="HQ265" s="95"/>
      <c r="HR265" s="95"/>
      <c r="HS265" s="95"/>
      <c r="HT265" s="95"/>
      <c r="HU265" s="95"/>
      <c r="HV265" s="95"/>
      <c r="HW265" s="95"/>
      <c r="HX265" s="95"/>
      <c r="HY265" s="95"/>
      <c r="HZ265" s="95"/>
      <c r="IA265" s="95"/>
      <c r="IB265" s="95"/>
      <c r="IC265" s="95"/>
      <c r="ID265" s="95"/>
      <c r="IE265" s="95"/>
      <c r="IF265" s="95"/>
      <c r="IG265" s="95"/>
      <c r="IH265" s="95"/>
      <c r="II265" s="95"/>
      <c r="IJ265" s="95"/>
      <c r="IK265" s="95"/>
      <c r="IL265" s="95"/>
      <c r="IM265" s="95"/>
      <c r="IN265" s="95"/>
      <c r="IO265" s="95"/>
      <c r="IP265" s="95"/>
      <c r="IQ265" s="95"/>
      <c r="IR265" s="95"/>
      <c r="IS265" s="95"/>
      <c r="IT265" s="95"/>
      <c r="IU265" s="95"/>
      <c r="IV265" s="95"/>
      <c r="IW265" s="95"/>
      <c r="IX265" s="95"/>
    </row>
    <row r="266" spans="1:258" s="94" customFormat="1" ht="18" customHeight="1">
      <c r="A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c r="AR266" s="95"/>
      <c r="AS266" s="95"/>
      <c r="AT266" s="95"/>
      <c r="AU266" s="95"/>
      <c r="AV266" s="95"/>
      <c r="AW266" s="95"/>
      <c r="AX266" s="95"/>
      <c r="AY266" s="95"/>
      <c r="AZ266" s="95"/>
      <c r="BA266" s="95"/>
      <c r="BB266" s="95"/>
      <c r="BC266" s="95"/>
      <c r="BD266" s="95"/>
      <c r="BE266" s="95"/>
      <c r="BF266" s="95"/>
      <c r="BG266" s="95"/>
      <c r="BH266" s="95"/>
      <c r="BI266" s="95"/>
      <c r="BJ266" s="95"/>
      <c r="BK266" s="95"/>
      <c r="BL266" s="95"/>
      <c r="BM266" s="95"/>
      <c r="BN266" s="95"/>
      <c r="BO266" s="95"/>
      <c r="BP266" s="95"/>
      <c r="BQ266" s="95"/>
      <c r="BR266" s="95"/>
      <c r="BS266" s="95"/>
      <c r="BT266" s="95"/>
      <c r="BU266" s="95"/>
      <c r="BV266" s="95"/>
      <c r="BW266" s="95"/>
      <c r="BX266" s="95"/>
      <c r="BY266" s="95"/>
      <c r="BZ266" s="95"/>
      <c r="CA266" s="95"/>
      <c r="CB266" s="95"/>
      <c r="CC266" s="95"/>
      <c r="CD266" s="95"/>
      <c r="CE266" s="95"/>
      <c r="CF266" s="95"/>
      <c r="CG266" s="95"/>
      <c r="CH266" s="95"/>
      <c r="CI266" s="95"/>
      <c r="CJ266" s="95"/>
      <c r="CK266" s="95"/>
      <c r="CL266" s="95"/>
      <c r="CM266" s="95"/>
      <c r="CN266" s="95"/>
      <c r="CO266" s="95"/>
      <c r="CP266" s="95"/>
      <c r="CQ266" s="95"/>
      <c r="CR266" s="95"/>
      <c r="CS266" s="95"/>
      <c r="CT266" s="95"/>
      <c r="CU266" s="95"/>
      <c r="CV266" s="95"/>
      <c r="CW266" s="95"/>
      <c r="CX266" s="95"/>
      <c r="CY266" s="95"/>
      <c r="CZ266" s="95"/>
      <c r="DA266" s="95"/>
      <c r="DB266" s="95"/>
      <c r="DC266" s="95"/>
      <c r="DD266" s="95"/>
      <c r="DE266" s="95"/>
      <c r="DF266" s="95"/>
      <c r="DG266" s="95"/>
      <c r="DH266" s="95"/>
      <c r="DI266" s="95"/>
      <c r="DJ266" s="95"/>
      <c r="DK266" s="95"/>
      <c r="DL266" s="95"/>
      <c r="DM266" s="95"/>
      <c r="DN266" s="95"/>
      <c r="DO266" s="95"/>
      <c r="DP266" s="95"/>
      <c r="DQ266" s="95"/>
      <c r="DR266" s="95"/>
      <c r="DS266" s="95"/>
      <c r="DT266" s="95"/>
      <c r="DU266" s="95"/>
      <c r="DV266" s="95"/>
      <c r="DW266" s="95"/>
      <c r="DX266" s="95"/>
      <c r="DY266" s="95"/>
      <c r="DZ266" s="95"/>
      <c r="EA266" s="95"/>
      <c r="EB266" s="95"/>
      <c r="EC266" s="95"/>
      <c r="ED266" s="95"/>
      <c r="EE266" s="95"/>
      <c r="EF266" s="95"/>
      <c r="EG266" s="95"/>
      <c r="EH266" s="95"/>
      <c r="EI266" s="95"/>
      <c r="EJ266" s="95"/>
      <c r="EK266" s="95"/>
      <c r="EL266" s="95"/>
      <c r="EM266" s="95"/>
      <c r="EN266" s="95"/>
      <c r="EO266" s="95"/>
      <c r="EP266" s="95"/>
      <c r="EQ266" s="95"/>
      <c r="ER266" s="95"/>
      <c r="ES266" s="95"/>
      <c r="ET266" s="95"/>
      <c r="EU266" s="95"/>
      <c r="EV266" s="95"/>
      <c r="EW266" s="95"/>
      <c r="EX266" s="95"/>
      <c r="EY266" s="95"/>
      <c r="EZ266" s="95"/>
      <c r="FA266" s="95"/>
      <c r="FB266" s="95"/>
      <c r="FC266" s="95"/>
      <c r="FD266" s="95"/>
      <c r="FE266" s="95"/>
      <c r="FF266" s="95"/>
      <c r="FG266" s="95"/>
      <c r="FH266" s="95"/>
      <c r="FI266" s="95"/>
      <c r="FJ266" s="95"/>
      <c r="FK266" s="95"/>
      <c r="FL266" s="95"/>
      <c r="FM266" s="95"/>
      <c r="FN266" s="95"/>
      <c r="FO266" s="95"/>
      <c r="FP266" s="95"/>
      <c r="FQ266" s="95"/>
      <c r="FR266" s="95"/>
      <c r="FS266" s="95"/>
      <c r="FT266" s="95"/>
      <c r="FU266" s="95"/>
      <c r="FV266" s="95"/>
      <c r="FW266" s="95"/>
      <c r="FX266" s="95"/>
      <c r="FY266" s="95"/>
      <c r="FZ266" s="95"/>
      <c r="GA266" s="95"/>
      <c r="GB266" s="95"/>
      <c r="GC266" s="95"/>
      <c r="GD266" s="95"/>
      <c r="GE266" s="95"/>
      <c r="GF266" s="95"/>
      <c r="GG266" s="95"/>
      <c r="GH266" s="95"/>
      <c r="GI266" s="95"/>
      <c r="GJ266" s="95"/>
      <c r="GK266" s="95"/>
      <c r="GL266" s="95"/>
      <c r="GM266" s="95"/>
      <c r="GN266" s="95"/>
      <c r="GO266" s="95"/>
      <c r="GP266" s="95"/>
      <c r="GQ266" s="95"/>
      <c r="GR266" s="95"/>
      <c r="GS266" s="95"/>
      <c r="GT266" s="95"/>
      <c r="GU266" s="95"/>
      <c r="GV266" s="95"/>
      <c r="GW266" s="95"/>
      <c r="GX266" s="95"/>
      <c r="GY266" s="95"/>
      <c r="GZ266" s="95"/>
      <c r="HA266" s="95"/>
      <c r="HB266" s="95"/>
      <c r="HC266" s="95"/>
      <c r="HD266" s="95"/>
      <c r="HE266" s="95"/>
      <c r="HF266" s="95"/>
      <c r="HG266" s="95"/>
      <c r="HH266" s="95"/>
      <c r="HI266" s="95"/>
      <c r="HJ266" s="95"/>
      <c r="HK266" s="95"/>
      <c r="HL266" s="95"/>
      <c r="HM266" s="95"/>
      <c r="HN266" s="95"/>
      <c r="HO266" s="95"/>
      <c r="HP266" s="95"/>
      <c r="HQ266" s="95"/>
      <c r="HR266" s="95"/>
      <c r="HS266" s="95"/>
      <c r="HT266" s="95"/>
      <c r="HU266" s="95"/>
      <c r="HV266" s="95"/>
      <c r="HW266" s="95"/>
      <c r="HX266" s="95"/>
      <c r="HY266" s="95"/>
      <c r="HZ266" s="95"/>
      <c r="IA266" s="95"/>
      <c r="IB266" s="95"/>
      <c r="IC266" s="95"/>
      <c r="ID266" s="95"/>
      <c r="IE266" s="95"/>
      <c r="IF266" s="95"/>
      <c r="IG266" s="95"/>
      <c r="IH266" s="95"/>
      <c r="II266" s="95"/>
      <c r="IJ266" s="95"/>
      <c r="IK266" s="95"/>
      <c r="IL266" s="95"/>
      <c r="IM266" s="95"/>
      <c r="IN266" s="95"/>
      <c r="IO266" s="95"/>
      <c r="IP266" s="95"/>
      <c r="IQ266" s="95"/>
      <c r="IR266" s="95"/>
      <c r="IS266" s="95"/>
      <c r="IT266" s="95"/>
      <c r="IU266" s="95"/>
      <c r="IV266" s="95"/>
      <c r="IW266" s="95"/>
      <c r="IX266" s="95"/>
    </row>
    <row r="267" spans="1:258" s="94" customFormat="1" ht="18" customHeight="1">
      <c r="A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c r="AE267" s="95"/>
      <c r="AF267" s="95"/>
      <c r="AG267" s="95"/>
      <c r="AH267" s="95"/>
      <c r="AI267" s="95"/>
      <c r="AJ267" s="95"/>
      <c r="AK267" s="95"/>
      <c r="AL267" s="95"/>
      <c r="AM267" s="95"/>
      <c r="AN267" s="95"/>
      <c r="AO267" s="95"/>
      <c r="AP267" s="95"/>
      <c r="AQ267" s="95"/>
      <c r="AR267" s="95"/>
      <c r="AS267" s="95"/>
      <c r="AT267" s="95"/>
      <c r="AU267" s="95"/>
      <c r="AV267" s="95"/>
      <c r="AW267" s="95"/>
      <c r="AX267" s="95"/>
      <c r="AY267" s="95"/>
      <c r="AZ267" s="95"/>
      <c r="BA267" s="95"/>
      <c r="BB267" s="95"/>
      <c r="BC267" s="95"/>
      <c r="BD267" s="95"/>
      <c r="BE267" s="95"/>
      <c r="BF267" s="95"/>
      <c r="BG267" s="95"/>
      <c r="BH267" s="95"/>
      <c r="BI267" s="95"/>
      <c r="BJ267" s="95"/>
      <c r="BK267" s="95"/>
      <c r="BL267" s="95"/>
      <c r="BM267" s="95"/>
      <c r="BN267" s="95"/>
      <c r="BO267" s="95"/>
      <c r="BP267" s="95"/>
      <c r="BQ267" s="95"/>
      <c r="BR267" s="95"/>
      <c r="BS267" s="95"/>
      <c r="BT267" s="95"/>
      <c r="BU267" s="95"/>
      <c r="BV267" s="95"/>
      <c r="BW267" s="95"/>
      <c r="BX267" s="95"/>
      <c r="BY267" s="95"/>
      <c r="BZ267" s="95"/>
      <c r="CA267" s="95"/>
      <c r="CB267" s="95"/>
      <c r="CC267" s="95"/>
      <c r="CD267" s="95"/>
      <c r="CE267" s="95"/>
      <c r="CF267" s="95"/>
      <c r="CG267" s="95"/>
      <c r="CH267" s="95"/>
      <c r="CI267" s="95"/>
      <c r="CJ267" s="95"/>
      <c r="CK267" s="95"/>
      <c r="CL267" s="95"/>
      <c r="CM267" s="95"/>
      <c r="CN267" s="95"/>
      <c r="CO267" s="95"/>
      <c r="CP267" s="95"/>
      <c r="CQ267" s="95"/>
      <c r="CR267" s="95"/>
      <c r="CS267" s="95"/>
      <c r="CT267" s="95"/>
      <c r="CU267" s="95"/>
      <c r="CV267" s="95"/>
      <c r="CW267" s="95"/>
      <c r="CX267" s="95"/>
      <c r="CY267" s="95"/>
      <c r="CZ267" s="95"/>
      <c r="DA267" s="95"/>
      <c r="DB267" s="95"/>
      <c r="DC267" s="95"/>
      <c r="DD267" s="95"/>
      <c r="DE267" s="95"/>
      <c r="DF267" s="95"/>
      <c r="DG267" s="95"/>
      <c r="DH267" s="95"/>
      <c r="DI267" s="95"/>
      <c r="DJ267" s="95"/>
      <c r="DK267" s="95"/>
      <c r="DL267" s="95"/>
      <c r="DM267" s="95"/>
      <c r="DN267" s="95"/>
      <c r="DO267" s="95"/>
      <c r="DP267" s="95"/>
      <c r="DQ267" s="95"/>
      <c r="DR267" s="95"/>
      <c r="DS267" s="95"/>
      <c r="DT267" s="95"/>
      <c r="DU267" s="95"/>
      <c r="DV267" s="95"/>
      <c r="DW267" s="95"/>
      <c r="DX267" s="95"/>
      <c r="DY267" s="95"/>
      <c r="DZ267" s="95"/>
      <c r="EA267" s="95"/>
      <c r="EB267" s="95"/>
      <c r="EC267" s="95"/>
      <c r="ED267" s="95"/>
      <c r="EE267" s="95"/>
      <c r="EF267" s="95"/>
      <c r="EG267" s="95"/>
      <c r="EH267" s="95"/>
      <c r="EI267" s="95"/>
      <c r="EJ267" s="95"/>
      <c r="EK267" s="95"/>
      <c r="EL267" s="95"/>
      <c r="EM267" s="95"/>
      <c r="EN267" s="95"/>
      <c r="EO267" s="95"/>
      <c r="EP267" s="95"/>
      <c r="EQ267" s="95"/>
      <c r="ER267" s="95"/>
      <c r="ES267" s="95"/>
      <c r="ET267" s="95"/>
      <c r="EU267" s="95"/>
      <c r="EV267" s="95"/>
      <c r="EW267" s="95"/>
      <c r="EX267" s="95"/>
      <c r="EY267" s="95"/>
      <c r="EZ267" s="95"/>
      <c r="FA267" s="95"/>
      <c r="FB267" s="95"/>
      <c r="FC267" s="95"/>
      <c r="FD267" s="95"/>
      <c r="FE267" s="95"/>
      <c r="FF267" s="95"/>
      <c r="FG267" s="95"/>
      <c r="FH267" s="95"/>
      <c r="FI267" s="95"/>
      <c r="FJ267" s="95"/>
      <c r="FK267" s="95"/>
      <c r="FL267" s="95"/>
      <c r="FM267" s="95"/>
      <c r="FN267" s="95"/>
      <c r="FO267" s="95"/>
      <c r="FP267" s="95"/>
      <c r="FQ267" s="95"/>
      <c r="FR267" s="95"/>
      <c r="FS267" s="95"/>
      <c r="FT267" s="95"/>
      <c r="FU267" s="95"/>
      <c r="FV267" s="95"/>
      <c r="FW267" s="95"/>
      <c r="FX267" s="95"/>
      <c r="FY267" s="95"/>
      <c r="FZ267" s="95"/>
      <c r="GA267" s="95"/>
      <c r="GB267" s="95"/>
      <c r="GC267" s="95"/>
      <c r="GD267" s="95"/>
      <c r="GE267" s="95"/>
      <c r="GF267" s="95"/>
      <c r="GG267" s="95"/>
      <c r="GH267" s="95"/>
      <c r="GI267" s="95"/>
      <c r="GJ267" s="95"/>
      <c r="GK267" s="95"/>
      <c r="GL267" s="95"/>
      <c r="GM267" s="95"/>
      <c r="GN267" s="95"/>
      <c r="GO267" s="95"/>
      <c r="GP267" s="95"/>
      <c r="GQ267" s="95"/>
      <c r="GR267" s="95"/>
      <c r="GS267" s="95"/>
      <c r="GT267" s="95"/>
      <c r="GU267" s="95"/>
      <c r="GV267" s="95"/>
      <c r="GW267" s="95"/>
      <c r="GX267" s="95"/>
      <c r="GY267" s="95"/>
      <c r="GZ267" s="95"/>
      <c r="HA267" s="95"/>
      <c r="HB267" s="95"/>
      <c r="HC267" s="95"/>
      <c r="HD267" s="95"/>
      <c r="HE267" s="95"/>
      <c r="HF267" s="95"/>
      <c r="HG267" s="95"/>
      <c r="HH267" s="95"/>
      <c r="HI267" s="95"/>
      <c r="HJ267" s="95"/>
      <c r="HK267" s="95"/>
      <c r="HL267" s="95"/>
      <c r="HM267" s="95"/>
      <c r="HN267" s="95"/>
      <c r="HO267" s="95"/>
      <c r="HP267" s="95"/>
      <c r="HQ267" s="95"/>
      <c r="HR267" s="95"/>
      <c r="HS267" s="95"/>
      <c r="HT267" s="95"/>
      <c r="HU267" s="95"/>
      <c r="HV267" s="95"/>
      <c r="HW267" s="95"/>
      <c r="HX267" s="95"/>
      <c r="HY267" s="95"/>
      <c r="HZ267" s="95"/>
      <c r="IA267" s="95"/>
      <c r="IB267" s="95"/>
      <c r="IC267" s="95"/>
      <c r="ID267" s="95"/>
      <c r="IE267" s="95"/>
      <c r="IF267" s="95"/>
      <c r="IG267" s="95"/>
      <c r="IH267" s="95"/>
      <c r="II267" s="95"/>
      <c r="IJ267" s="95"/>
      <c r="IK267" s="95"/>
      <c r="IL267" s="95"/>
      <c r="IM267" s="95"/>
      <c r="IN267" s="95"/>
      <c r="IO267" s="95"/>
      <c r="IP267" s="95"/>
      <c r="IQ267" s="95"/>
      <c r="IR267" s="95"/>
      <c r="IS267" s="95"/>
      <c r="IT267" s="95"/>
      <c r="IU267" s="95"/>
      <c r="IV267" s="95"/>
      <c r="IW267" s="95"/>
      <c r="IX267" s="95"/>
    </row>
    <row r="268" spans="1:258" s="94" customFormat="1" ht="18" customHeight="1">
      <c r="A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c r="AE268" s="95"/>
      <c r="AF268" s="95"/>
      <c r="AG268" s="95"/>
      <c r="AH268" s="95"/>
      <c r="AI268" s="95"/>
      <c r="AJ268" s="95"/>
      <c r="AK268" s="95"/>
      <c r="AL268" s="95"/>
      <c r="AM268" s="95"/>
      <c r="AN268" s="95"/>
      <c r="AO268" s="95"/>
      <c r="AP268" s="95"/>
      <c r="AQ268" s="95"/>
      <c r="AR268" s="95"/>
      <c r="AS268" s="95"/>
      <c r="AT268" s="95"/>
      <c r="AU268" s="95"/>
      <c r="AV268" s="95"/>
      <c r="AW268" s="95"/>
      <c r="AX268" s="95"/>
      <c r="AY268" s="95"/>
      <c r="AZ268" s="95"/>
      <c r="BA268" s="95"/>
      <c r="BB268" s="95"/>
      <c r="BC268" s="95"/>
      <c r="BD268" s="95"/>
      <c r="BE268" s="95"/>
      <c r="BF268" s="95"/>
      <c r="BG268" s="95"/>
      <c r="BH268" s="95"/>
      <c r="BI268" s="95"/>
      <c r="BJ268" s="95"/>
      <c r="BK268" s="95"/>
      <c r="BL268" s="95"/>
      <c r="BM268" s="95"/>
      <c r="BN268" s="95"/>
      <c r="BO268" s="95"/>
      <c r="BP268" s="95"/>
      <c r="BQ268" s="95"/>
      <c r="BR268" s="95"/>
      <c r="BS268" s="95"/>
      <c r="BT268" s="95"/>
      <c r="BU268" s="95"/>
      <c r="BV268" s="95"/>
      <c r="BW268" s="95"/>
      <c r="BX268" s="95"/>
      <c r="BY268" s="95"/>
      <c r="BZ268" s="95"/>
      <c r="CA268" s="95"/>
      <c r="CB268" s="95"/>
      <c r="CC268" s="95"/>
      <c r="CD268" s="95"/>
      <c r="CE268" s="95"/>
      <c r="CF268" s="95"/>
      <c r="CG268" s="95"/>
      <c r="CH268" s="95"/>
      <c r="CI268" s="95"/>
      <c r="CJ268" s="95"/>
      <c r="CK268" s="95"/>
      <c r="CL268" s="95"/>
      <c r="CM268" s="95"/>
      <c r="CN268" s="95"/>
      <c r="CO268" s="95"/>
      <c r="CP268" s="95"/>
      <c r="CQ268" s="95"/>
      <c r="CR268" s="95"/>
      <c r="CS268" s="95"/>
      <c r="CT268" s="95"/>
      <c r="CU268" s="95"/>
      <c r="CV268" s="95"/>
      <c r="CW268" s="95"/>
      <c r="CX268" s="95"/>
      <c r="CY268" s="95"/>
      <c r="CZ268" s="95"/>
      <c r="DA268" s="95"/>
      <c r="DB268" s="95"/>
      <c r="DC268" s="95"/>
      <c r="DD268" s="95"/>
      <c r="DE268" s="95"/>
      <c r="DF268" s="95"/>
      <c r="DG268" s="95"/>
      <c r="DH268" s="95"/>
      <c r="DI268" s="95"/>
      <c r="DJ268" s="95"/>
      <c r="DK268" s="95"/>
      <c r="DL268" s="95"/>
      <c r="DM268" s="95"/>
      <c r="DN268" s="95"/>
      <c r="DO268" s="95"/>
      <c r="DP268" s="95"/>
      <c r="DQ268" s="95"/>
      <c r="DR268" s="95"/>
      <c r="DS268" s="95"/>
      <c r="DT268" s="95"/>
      <c r="DU268" s="95"/>
      <c r="DV268" s="95"/>
      <c r="DW268" s="95"/>
      <c r="DX268" s="95"/>
      <c r="DY268" s="95"/>
      <c r="DZ268" s="95"/>
      <c r="EA268" s="95"/>
      <c r="EB268" s="95"/>
      <c r="EC268" s="95"/>
      <c r="ED268" s="95"/>
      <c r="EE268" s="95"/>
      <c r="EF268" s="95"/>
      <c r="EG268" s="95"/>
      <c r="EH268" s="95"/>
      <c r="EI268" s="95"/>
      <c r="EJ268" s="95"/>
      <c r="EK268" s="95"/>
      <c r="EL268" s="95"/>
      <c r="EM268" s="95"/>
      <c r="EN268" s="95"/>
      <c r="EO268" s="95"/>
      <c r="EP268" s="95"/>
      <c r="EQ268" s="95"/>
      <c r="ER268" s="95"/>
      <c r="ES268" s="95"/>
      <c r="ET268" s="95"/>
      <c r="EU268" s="95"/>
      <c r="EV268" s="95"/>
      <c r="EW268" s="95"/>
      <c r="EX268" s="95"/>
      <c r="EY268" s="95"/>
      <c r="EZ268" s="95"/>
      <c r="FA268" s="95"/>
      <c r="FB268" s="95"/>
      <c r="FC268" s="95"/>
      <c r="FD268" s="95"/>
      <c r="FE268" s="95"/>
      <c r="FF268" s="95"/>
      <c r="FG268" s="95"/>
      <c r="FH268" s="95"/>
      <c r="FI268" s="95"/>
      <c r="FJ268" s="95"/>
      <c r="FK268" s="95"/>
      <c r="FL268" s="95"/>
      <c r="FM268" s="95"/>
      <c r="FN268" s="95"/>
      <c r="FO268" s="95"/>
      <c r="FP268" s="95"/>
      <c r="FQ268" s="95"/>
      <c r="FR268" s="95"/>
      <c r="FS268" s="95"/>
      <c r="FT268" s="95"/>
      <c r="FU268" s="95"/>
      <c r="FV268" s="95"/>
      <c r="FW268" s="95"/>
      <c r="FX268" s="95"/>
      <c r="FY268" s="95"/>
      <c r="FZ268" s="95"/>
      <c r="GA268" s="95"/>
      <c r="GB268" s="95"/>
      <c r="GC268" s="95"/>
      <c r="GD268" s="95"/>
      <c r="GE268" s="95"/>
      <c r="GF268" s="95"/>
      <c r="GG268" s="95"/>
      <c r="GH268" s="95"/>
      <c r="GI268" s="95"/>
      <c r="GJ268" s="95"/>
      <c r="GK268" s="95"/>
      <c r="GL268" s="95"/>
      <c r="GM268" s="95"/>
      <c r="GN268" s="95"/>
      <c r="GO268" s="95"/>
      <c r="GP268" s="95"/>
      <c r="GQ268" s="95"/>
      <c r="GR268" s="95"/>
      <c r="GS268" s="95"/>
      <c r="GT268" s="95"/>
      <c r="GU268" s="95"/>
      <c r="GV268" s="95"/>
      <c r="GW268" s="95"/>
      <c r="GX268" s="95"/>
      <c r="GY268" s="95"/>
      <c r="GZ268" s="95"/>
      <c r="HA268" s="95"/>
      <c r="HB268" s="95"/>
      <c r="HC268" s="95"/>
      <c r="HD268" s="95"/>
      <c r="HE268" s="95"/>
      <c r="HF268" s="95"/>
      <c r="HG268" s="95"/>
      <c r="HH268" s="95"/>
      <c r="HI268" s="95"/>
      <c r="HJ268" s="95"/>
      <c r="HK268" s="95"/>
      <c r="HL268" s="95"/>
      <c r="HM268" s="95"/>
      <c r="HN268" s="95"/>
      <c r="HO268" s="95"/>
      <c r="HP268" s="95"/>
      <c r="HQ268" s="95"/>
      <c r="HR268" s="95"/>
      <c r="HS268" s="95"/>
      <c r="HT268" s="95"/>
      <c r="HU268" s="95"/>
      <c r="HV268" s="95"/>
      <c r="HW268" s="95"/>
      <c r="HX268" s="95"/>
      <c r="HY268" s="95"/>
      <c r="HZ268" s="95"/>
      <c r="IA268" s="95"/>
      <c r="IB268" s="95"/>
      <c r="IC268" s="95"/>
      <c r="ID268" s="95"/>
      <c r="IE268" s="95"/>
      <c r="IF268" s="95"/>
      <c r="IG268" s="95"/>
      <c r="IH268" s="95"/>
      <c r="II268" s="95"/>
      <c r="IJ268" s="95"/>
      <c r="IK268" s="95"/>
      <c r="IL268" s="95"/>
      <c r="IM268" s="95"/>
      <c r="IN268" s="95"/>
      <c r="IO268" s="95"/>
      <c r="IP268" s="95"/>
      <c r="IQ268" s="95"/>
      <c r="IR268" s="95"/>
      <c r="IS268" s="95"/>
      <c r="IT268" s="95"/>
      <c r="IU268" s="95"/>
      <c r="IV268" s="95"/>
      <c r="IW268" s="95"/>
      <c r="IX268" s="95"/>
    </row>
    <row r="269" spans="1:258" ht="16" customHeight="1">
      <c r="A269" s="141"/>
      <c r="B269" s="109" t="s">
        <v>94</v>
      </c>
      <c r="C269" s="109" t="s">
        <v>94</v>
      </c>
      <c r="D269" s="67"/>
      <c r="E269" s="113" t="s">
        <v>138</v>
      </c>
      <c r="F269" s="210" t="e">
        <f>[1]Sheet1!C79</f>
        <v>#REF!</v>
      </c>
      <c r="G269" s="125" t="e">
        <f>[1]Sheet1!B79</f>
        <v>#REF!</v>
      </c>
      <c r="H269" s="46" t="s">
        <v>23</v>
      </c>
      <c r="I269" s="131" t="s">
        <v>15</v>
      </c>
      <c r="J269" s="131" t="s">
        <v>30</v>
      </c>
      <c r="K269" s="132" t="s">
        <v>37</v>
      </c>
      <c r="L269" s="133"/>
      <c r="M269" s="122"/>
      <c r="N269" s="120"/>
      <c r="O269" s="42" t="s">
        <v>18</v>
      </c>
      <c r="P269" s="53"/>
      <c r="Q269" s="53"/>
      <c r="R269" s="16"/>
      <c r="S269" s="16"/>
      <c r="T269" s="16"/>
      <c r="U269" s="16"/>
      <c r="V269" s="16"/>
      <c r="W269" s="16"/>
      <c r="X269" s="16"/>
      <c r="Y269" s="16"/>
      <c r="Z269" s="16"/>
      <c r="AA269" s="16"/>
      <c r="AB269" s="45"/>
    </row>
    <row r="270" spans="1:258" ht="16" customHeight="1">
      <c r="A270" s="141"/>
      <c r="B270" s="110"/>
      <c r="C270" s="110"/>
      <c r="D270" s="68"/>
      <c r="E270" s="114"/>
      <c r="F270" s="211"/>
      <c r="G270" s="126"/>
      <c r="H270" s="43" t="s">
        <v>139</v>
      </c>
      <c r="I270" s="114"/>
      <c r="J270" s="114"/>
      <c r="K270" s="114"/>
      <c r="L270" s="114"/>
      <c r="M270" s="114"/>
      <c r="N270" s="114"/>
      <c r="O270" s="42" t="s">
        <v>20</v>
      </c>
      <c r="P270" s="15"/>
      <c r="Q270" s="15"/>
      <c r="R270" s="15"/>
      <c r="S270" s="15"/>
      <c r="T270" s="15"/>
      <c r="U270" s="15"/>
      <c r="V270" s="15"/>
      <c r="W270" s="15"/>
      <c r="X270" s="15"/>
      <c r="Y270" s="15"/>
      <c r="Z270" s="15"/>
      <c r="AA270" s="15"/>
      <c r="AB270" s="44"/>
    </row>
    <row r="271" spans="1:258" ht="16" customHeight="1">
      <c r="A271" s="141"/>
      <c r="B271" s="110"/>
      <c r="C271" s="110"/>
      <c r="D271" s="68"/>
      <c r="E271" s="113" t="s">
        <v>124</v>
      </c>
      <c r="F271" s="210" t="e">
        <f>[1]Sheet1!C81</f>
        <v>#REF!</v>
      </c>
      <c r="G271" s="125" t="e">
        <f>[1]Sheet1!B81</f>
        <v>#REF!</v>
      </c>
      <c r="H271" s="41" t="s">
        <v>34</v>
      </c>
      <c r="I271" s="131" t="s">
        <v>15</v>
      </c>
      <c r="J271" s="131" t="s">
        <v>30</v>
      </c>
      <c r="K271" s="132" t="s">
        <v>37</v>
      </c>
      <c r="L271" s="136"/>
      <c r="M271" s="122"/>
      <c r="N271" s="120"/>
      <c r="O271" s="42" t="s">
        <v>18</v>
      </c>
      <c r="P271" s="53"/>
      <c r="Q271" s="53"/>
      <c r="R271" s="16"/>
      <c r="S271" s="16"/>
      <c r="T271" s="16"/>
      <c r="U271" s="16"/>
      <c r="V271" s="16"/>
      <c r="W271" s="16"/>
      <c r="X271" s="16"/>
      <c r="Y271" s="16"/>
      <c r="Z271" s="16"/>
      <c r="AA271" s="16"/>
      <c r="AB271" s="45"/>
    </row>
    <row r="272" spans="1:258" ht="16" customHeight="1">
      <c r="A272" s="141"/>
      <c r="B272" s="110"/>
      <c r="C272" s="110"/>
      <c r="D272" s="68"/>
      <c r="E272" s="173"/>
      <c r="F272" s="211"/>
      <c r="G272" s="126"/>
      <c r="H272" s="43" t="s">
        <v>38</v>
      </c>
      <c r="I272" s="134"/>
      <c r="J272" s="134"/>
      <c r="K272" s="135"/>
      <c r="L272" s="137"/>
      <c r="M272" s="123"/>
      <c r="N272" s="121"/>
      <c r="O272" s="42" t="s">
        <v>20</v>
      </c>
      <c r="P272" s="15"/>
      <c r="Q272" s="15"/>
      <c r="R272" s="15"/>
      <c r="S272" s="15"/>
      <c r="T272" s="15"/>
      <c r="U272" s="15"/>
      <c r="V272" s="15"/>
      <c r="W272" s="15"/>
      <c r="X272" s="15"/>
      <c r="Y272" s="15"/>
      <c r="Z272" s="15"/>
      <c r="AA272" s="15"/>
      <c r="AB272" s="44"/>
    </row>
    <row r="273" spans="1:28" ht="16" customHeight="1">
      <c r="A273" s="141"/>
      <c r="B273" s="110"/>
      <c r="C273" s="110"/>
      <c r="D273" s="68"/>
      <c r="E273" s="113" t="s">
        <v>140</v>
      </c>
      <c r="F273" s="210" t="e">
        <f>[1]Sheet1!C83</f>
        <v>#REF!</v>
      </c>
      <c r="G273" s="125" t="e">
        <f>[1]Sheet1!B83</f>
        <v>#REF!</v>
      </c>
      <c r="H273" s="46" t="s">
        <v>23</v>
      </c>
      <c r="I273" s="131" t="s">
        <v>15</v>
      </c>
      <c r="J273" s="131" t="s">
        <v>30</v>
      </c>
      <c r="K273" s="132" t="s">
        <v>37</v>
      </c>
      <c r="L273" s="190"/>
      <c r="M273" s="122"/>
      <c r="N273" s="120"/>
      <c r="O273" s="42" t="s">
        <v>18</v>
      </c>
      <c r="P273" s="53"/>
      <c r="Q273" s="53"/>
      <c r="R273" s="16"/>
      <c r="S273" s="16"/>
      <c r="T273" s="16"/>
      <c r="U273" s="16"/>
      <c r="V273" s="16"/>
      <c r="W273" s="16"/>
      <c r="X273" s="16"/>
      <c r="Y273" s="16"/>
      <c r="Z273" s="16"/>
      <c r="AA273" s="16"/>
      <c r="AB273" s="45"/>
    </row>
    <row r="274" spans="1:28" ht="16" customHeight="1">
      <c r="A274" s="141"/>
      <c r="B274" s="110"/>
      <c r="C274" s="110"/>
      <c r="D274" s="68"/>
      <c r="E274" s="114"/>
      <c r="F274" s="211"/>
      <c r="G274" s="126"/>
      <c r="H274" s="47" t="s">
        <v>141</v>
      </c>
      <c r="I274" s="114"/>
      <c r="J274" s="114"/>
      <c r="K274" s="114"/>
      <c r="L274" s="114"/>
      <c r="M274" s="114"/>
      <c r="N274" s="172"/>
      <c r="O274" s="42" t="s">
        <v>20</v>
      </c>
      <c r="P274" s="15"/>
      <c r="Q274" s="15"/>
      <c r="R274" s="15"/>
      <c r="S274" s="15"/>
      <c r="T274" s="15"/>
      <c r="U274" s="15"/>
      <c r="V274" s="15"/>
      <c r="W274" s="15"/>
      <c r="X274" s="15"/>
      <c r="Y274" s="15"/>
      <c r="Z274" s="15"/>
      <c r="AA274" s="15"/>
      <c r="AB274" s="44"/>
    </row>
    <row r="275" spans="1:28" ht="16" customHeight="1">
      <c r="A275" s="141"/>
      <c r="B275" s="110"/>
      <c r="C275" s="110"/>
      <c r="D275" s="68"/>
      <c r="E275" s="180" t="s">
        <v>125</v>
      </c>
      <c r="F275" s="210" t="e">
        <f>[1]Sheet1!C85</f>
        <v>#REF!</v>
      </c>
      <c r="G275" s="125" t="e">
        <f>[1]Sheet1!B85</f>
        <v>#REF!</v>
      </c>
      <c r="H275" s="41" t="s">
        <v>29</v>
      </c>
      <c r="I275" s="147" t="s">
        <v>15</v>
      </c>
      <c r="J275" s="118" t="s">
        <v>30</v>
      </c>
      <c r="K275" s="130" t="s">
        <v>39</v>
      </c>
      <c r="L275" s="117"/>
      <c r="M275" s="116"/>
      <c r="N275" s="119"/>
      <c r="O275" s="42" t="s">
        <v>18</v>
      </c>
      <c r="P275" s="53"/>
      <c r="Q275" s="53"/>
      <c r="R275" s="16"/>
      <c r="S275" s="16"/>
      <c r="T275" s="16"/>
      <c r="U275" s="16"/>
      <c r="V275" s="16"/>
      <c r="W275" s="16"/>
      <c r="X275" s="16"/>
      <c r="Y275" s="16"/>
      <c r="Z275" s="16"/>
      <c r="AA275" s="16"/>
      <c r="AB275" s="45"/>
    </row>
    <row r="276" spans="1:28" ht="16" customHeight="1">
      <c r="A276" s="141"/>
      <c r="B276" s="110"/>
      <c r="C276" s="110"/>
      <c r="D276" s="68"/>
      <c r="E276" s="181"/>
      <c r="F276" s="211"/>
      <c r="G276" s="126"/>
      <c r="H276" s="43" t="s">
        <v>31</v>
      </c>
      <c r="I276" s="147"/>
      <c r="J276" s="118"/>
      <c r="K276" s="138"/>
      <c r="L276" s="117"/>
      <c r="M276" s="116"/>
      <c r="N276" s="112"/>
      <c r="O276" s="42" t="s">
        <v>20</v>
      </c>
      <c r="P276" s="15"/>
      <c r="Q276" s="15"/>
      <c r="R276" s="15"/>
      <c r="S276" s="15"/>
      <c r="T276" s="15"/>
      <c r="U276" s="15"/>
      <c r="V276" s="15"/>
      <c r="W276" s="15"/>
      <c r="X276" s="15"/>
      <c r="Y276" s="15"/>
      <c r="Z276" s="15"/>
      <c r="AA276" s="15"/>
      <c r="AB276" s="44"/>
    </row>
    <row r="277" spans="1:28" ht="16" customHeight="1">
      <c r="A277" s="141"/>
      <c r="B277" s="110"/>
      <c r="C277" s="110"/>
      <c r="D277" s="68"/>
      <c r="E277" s="188" t="s">
        <v>120</v>
      </c>
      <c r="F277" s="210" t="e">
        <f>[1]Sheet1!C87</f>
        <v>#REF!</v>
      </c>
      <c r="G277" s="125" t="e">
        <f>[1]Sheet1!B87</f>
        <v>#REF!</v>
      </c>
      <c r="H277" s="41" t="s">
        <v>48</v>
      </c>
      <c r="I277" s="147" t="s">
        <v>15</v>
      </c>
      <c r="J277" s="118" t="s">
        <v>30</v>
      </c>
      <c r="K277" s="130" t="s">
        <v>39</v>
      </c>
      <c r="L277" s="117"/>
      <c r="M277" s="116"/>
      <c r="N277" s="119"/>
      <c r="O277" s="42" t="s">
        <v>18</v>
      </c>
      <c r="P277" s="53"/>
      <c r="Q277" s="53"/>
      <c r="R277" s="16"/>
      <c r="S277" s="16"/>
      <c r="T277" s="16"/>
      <c r="U277" s="16"/>
      <c r="V277" s="16"/>
      <c r="W277" s="16"/>
      <c r="X277" s="16"/>
      <c r="Y277" s="16"/>
      <c r="Z277" s="16"/>
      <c r="AA277" s="16"/>
      <c r="AB277" s="45"/>
    </row>
    <row r="278" spans="1:28" ht="16" customHeight="1">
      <c r="A278" s="141"/>
      <c r="B278" s="111"/>
      <c r="C278" s="111"/>
      <c r="D278" s="69"/>
      <c r="E278" s="189"/>
      <c r="F278" s="211"/>
      <c r="G278" s="126"/>
      <c r="H278" s="43" t="s">
        <v>142</v>
      </c>
      <c r="I278" s="147"/>
      <c r="J278" s="118"/>
      <c r="K278" s="130"/>
      <c r="L278" s="117"/>
      <c r="M278" s="116"/>
      <c r="N278" s="112"/>
      <c r="O278" s="42" t="s">
        <v>20</v>
      </c>
      <c r="P278" s="15"/>
      <c r="Q278" s="15"/>
      <c r="R278" s="15"/>
      <c r="S278" s="15"/>
      <c r="T278" s="15"/>
      <c r="U278" s="15"/>
      <c r="V278" s="15"/>
      <c r="W278" s="15"/>
      <c r="X278" s="15"/>
      <c r="Y278" s="15"/>
      <c r="Z278" s="15"/>
      <c r="AA278" s="15"/>
      <c r="AB278" s="44"/>
    </row>
    <row r="279" spans="1:28" ht="16" customHeight="1">
      <c r="A279" s="141"/>
      <c r="B279" s="174" t="s">
        <v>94</v>
      </c>
      <c r="C279" s="182" t="s">
        <v>98</v>
      </c>
      <c r="D279" s="70"/>
      <c r="E279" s="144" t="s">
        <v>152</v>
      </c>
      <c r="F279" s="210" t="e">
        <f>[1]Sheet1!C89</f>
        <v>#REF!</v>
      </c>
      <c r="G279" s="125" t="e">
        <f>[1]Sheet1!B89</f>
        <v>#REF!</v>
      </c>
      <c r="H279" s="41" t="s">
        <v>29</v>
      </c>
      <c r="I279" s="147" t="s">
        <v>15</v>
      </c>
      <c r="J279" s="118" t="s">
        <v>30</v>
      </c>
      <c r="K279" s="130" t="s">
        <v>28</v>
      </c>
      <c r="L279" s="115"/>
      <c r="M279" s="116"/>
      <c r="N279" s="112"/>
      <c r="O279" s="42" t="s">
        <v>18</v>
      </c>
      <c r="P279" s="53"/>
      <c r="Q279" s="53"/>
      <c r="R279" s="16"/>
      <c r="S279" s="16"/>
      <c r="T279" s="16"/>
      <c r="U279" s="16"/>
      <c r="V279" s="16"/>
      <c r="W279" s="16"/>
      <c r="X279" s="16"/>
      <c r="Y279" s="16"/>
      <c r="Z279" s="16"/>
      <c r="AA279" s="16"/>
      <c r="AB279" s="45"/>
    </row>
    <row r="280" spans="1:28" ht="16" customHeight="1">
      <c r="A280" s="141"/>
      <c r="B280" s="175"/>
      <c r="C280" s="183"/>
      <c r="D280" s="71"/>
      <c r="E280" s="145"/>
      <c r="F280" s="211"/>
      <c r="G280" s="126"/>
      <c r="H280" s="43" t="s">
        <v>43</v>
      </c>
      <c r="I280" s="147"/>
      <c r="J280" s="118"/>
      <c r="K280" s="130"/>
      <c r="L280" s="115"/>
      <c r="M280" s="116"/>
      <c r="N280" s="112"/>
      <c r="O280" s="42" t="s">
        <v>20</v>
      </c>
      <c r="P280" s="15"/>
      <c r="Q280" s="15"/>
      <c r="R280" s="15"/>
      <c r="S280" s="15"/>
      <c r="T280" s="15"/>
      <c r="U280" s="15"/>
      <c r="V280" s="15"/>
      <c r="W280" s="15"/>
      <c r="X280" s="15"/>
      <c r="Y280" s="15"/>
      <c r="Z280" s="15"/>
      <c r="AA280" s="15"/>
      <c r="AB280" s="44"/>
    </row>
    <row r="281" spans="1:28" ht="16" customHeight="1">
      <c r="A281" s="141"/>
      <c r="B281" s="175"/>
      <c r="C281" s="183"/>
      <c r="D281" s="71"/>
      <c r="E281" s="143" t="s">
        <v>153</v>
      </c>
      <c r="F281" s="210" t="e">
        <f>[1]Sheet1!C91</f>
        <v>#REF!</v>
      </c>
      <c r="G281" s="125" t="e">
        <f>[1]Sheet1!B91</f>
        <v>#REF!</v>
      </c>
      <c r="H281" s="41" t="s">
        <v>29</v>
      </c>
      <c r="I281" s="147" t="s">
        <v>15</v>
      </c>
      <c r="J281" s="118" t="s">
        <v>30</v>
      </c>
      <c r="K281" s="130" t="s">
        <v>28</v>
      </c>
      <c r="L281" s="115"/>
      <c r="M281" s="116"/>
      <c r="N281" s="112"/>
      <c r="O281" s="42" t="s">
        <v>18</v>
      </c>
      <c r="P281" s="53"/>
      <c r="Q281" s="53"/>
      <c r="R281" s="16"/>
      <c r="S281" s="16"/>
      <c r="T281" s="16"/>
      <c r="U281" s="16"/>
      <c r="V281" s="16"/>
      <c r="W281" s="16"/>
      <c r="X281" s="16"/>
      <c r="Y281" s="16"/>
      <c r="Z281" s="16"/>
      <c r="AA281" s="16"/>
      <c r="AB281" s="45"/>
    </row>
    <row r="282" spans="1:28" ht="16" customHeight="1">
      <c r="A282" s="141"/>
      <c r="B282" s="175"/>
      <c r="C282" s="183"/>
      <c r="D282" s="71"/>
      <c r="E282" s="143"/>
      <c r="F282" s="211"/>
      <c r="G282" s="126"/>
      <c r="H282" s="43" t="s">
        <v>38</v>
      </c>
      <c r="I282" s="147"/>
      <c r="J282" s="118"/>
      <c r="K282" s="130"/>
      <c r="L282" s="115"/>
      <c r="M282" s="116"/>
      <c r="N282" s="112"/>
      <c r="O282" s="42" t="s">
        <v>20</v>
      </c>
      <c r="P282" s="15"/>
      <c r="Q282" s="15"/>
      <c r="R282" s="15"/>
      <c r="S282" s="15"/>
      <c r="T282" s="15"/>
      <c r="U282" s="15"/>
      <c r="V282" s="15"/>
      <c r="W282" s="15"/>
      <c r="X282" s="15"/>
      <c r="Y282" s="15"/>
      <c r="Z282" s="15"/>
      <c r="AA282" s="15"/>
      <c r="AB282" s="44"/>
    </row>
    <row r="283" spans="1:28" ht="16" customHeight="1">
      <c r="A283" s="141"/>
      <c r="B283" s="175"/>
      <c r="C283" s="183"/>
      <c r="D283" s="71"/>
      <c r="E283" s="143" t="s">
        <v>175</v>
      </c>
      <c r="F283" s="210" t="e">
        <f>[1]Sheet1!C93</f>
        <v>#REF!</v>
      </c>
      <c r="G283" s="125" t="e">
        <f>[1]Sheet1!B93</f>
        <v>#REF!</v>
      </c>
      <c r="H283" s="41" t="s">
        <v>29</v>
      </c>
      <c r="I283" s="147" t="s">
        <v>15</v>
      </c>
      <c r="J283" s="118" t="s">
        <v>16</v>
      </c>
      <c r="K283" s="130" t="s">
        <v>28</v>
      </c>
      <c r="L283" s="115"/>
      <c r="M283" s="116"/>
      <c r="N283" s="112"/>
      <c r="O283" s="42" t="s">
        <v>18</v>
      </c>
      <c r="P283" s="53"/>
      <c r="Q283" s="53"/>
      <c r="R283" s="16"/>
      <c r="S283" s="16"/>
      <c r="T283" s="16"/>
      <c r="U283" s="16"/>
      <c r="V283" s="16"/>
      <c r="W283" s="16"/>
      <c r="X283" s="16"/>
      <c r="Y283" s="16"/>
      <c r="Z283" s="16"/>
      <c r="AA283" s="16"/>
      <c r="AB283" s="45"/>
    </row>
    <row r="284" spans="1:28" ht="16" customHeight="1">
      <c r="A284" s="141"/>
      <c r="B284" s="176"/>
      <c r="C284" s="184"/>
      <c r="D284" s="72"/>
      <c r="E284" s="143"/>
      <c r="F284" s="211"/>
      <c r="G284" s="126"/>
      <c r="H284" s="43" t="s">
        <v>19</v>
      </c>
      <c r="I284" s="147"/>
      <c r="J284" s="118"/>
      <c r="K284" s="130"/>
      <c r="L284" s="115"/>
      <c r="M284" s="116"/>
      <c r="N284" s="112"/>
      <c r="O284" s="42" t="s">
        <v>20</v>
      </c>
      <c r="P284" s="15"/>
      <c r="Q284" s="15"/>
      <c r="R284" s="15"/>
      <c r="S284" s="15"/>
      <c r="T284" s="15"/>
      <c r="U284" s="15"/>
      <c r="V284" s="15"/>
      <c r="W284" s="15"/>
      <c r="X284" s="15"/>
      <c r="Y284" s="15"/>
      <c r="Z284" s="15"/>
      <c r="AA284" s="15"/>
      <c r="AB284" s="44"/>
    </row>
    <row r="285" spans="1:28" ht="16" customHeight="1">
      <c r="A285" s="141"/>
      <c r="B285" s="142" t="s">
        <v>94</v>
      </c>
      <c r="C285" s="142" t="s">
        <v>106</v>
      </c>
      <c r="D285" s="73"/>
      <c r="E285" s="143" t="s">
        <v>161</v>
      </c>
      <c r="F285" s="210" t="e">
        <f>[1]Sheet1!C95</f>
        <v>#REF!</v>
      </c>
      <c r="G285" s="125" t="e">
        <f>[1]Sheet1!B95</f>
        <v>#REF!</v>
      </c>
      <c r="H285" s="41" t="s">
        <v>34</v>
      </c>
      <c r="I285" s="118" t="s">
        <v>15</v>
      </c>
      <c r="J285" s="118" t="s">
        <v>30</v>
      </c>
      <c r="K285" s="146" t="s">
        <v>33</v>
      </c>
      <c r="L285" s="117"/>
      <c r="M285" s="116"/>
      <c r="N285" s="112"/>
      <c r="O285" s="42" t="s">
        <v>18</v>
      </c>
      <c r="P285" s="53"/>
      <c r="Q285" s="53"/>
      <c r="R285" s="16"/>
      <c r="S285" s="16"/>
      <c r="T285" s="16"/>
      <c r="U285" s="16"/>
      <c r="V285" s="16"/>
      <c r="W285" s="16"/>
      <c r="X285" s="16"/>
      <c r="Y285" s="16"/>
      <c r="Z285" s="16"/>
      <c r="AA285" s="16"/>
      <c r="AB285" s="45"/>
    </row>
    <row r="286" spans="1:28" ht="16" customHeight="1">
      <c r="A286" s="141"/>
      <c r="B286" s="142"/>
      <c r="C286" s="142"/>
      <c r="D286" s="73"/>
      <c r="E286" s="143"/>
      <c r="F286" s="211"/>
      <c r="G286" s="126"/>
      <c r="H286" s="43" t="s">
        <v>35</v>
      </c>
      <c r="I286" s="118"/>
      <c r="J286" s="118"/>
      <c r="K286" s="146"/>
      <c r="L286" s="117"/>
      <c r="M286" s="116"/>
      <c r="N286" s="112"/>
      <c r="O286" s="42" t="s">
        <v>20</v>
      </c>
      <c r="P286" s="15"/>
      <c r="Q286" s="15"/>
      <c r="R286" s="15"/>
      <c r="S286" s="15"/>
      <c r="T286" s="15"/>
      <c r="U286" s="15"/>
      <c r="V286" s="15"/>
      <c r="W286" s="15"/>
      <c r="X286" s="15"/>
      <c r="Y286" s="15"/>
      <c r="Z286" s="15"/>
      <c r="AA286" s="15"/>
      <c r="AB286" s="44"/>
    </row>
    <row r="287" spans="1:28" ht="16" customHeight="1">
      <c r="A287" s="141"/>
      <c r="B287" s="142"/>
      <c r="C287" s="142"/>
      <c r="D287" s="73"/>
      <c r="E287" s="143" t="s">
        <v>158</v>
      </c>
      <c r="F287" s="210" t="e">
        <f>[1]Sheet1!C97</f>
        <v>#REF!</v>
      </c>
      <c r="G287" s="125" t="e">
        <f>[1]Sheet1!B97</f>
        <v>#REF!</v>
      </c>
      <c r="H287" s="41" t="s">
        <v>34</v>
      </c>
      <c r="I287" s="118" t="s">
        <v>15</v>
      </c>
      <c r="J287" s="118" t="s">
        <v>30</v>
      </c>
      <c r="K287" s="146" t="s">
        <v>33</v>
      </c>
      <c r="L287" s="117"/>
      <c r="M287" s="116"/>
      <c r="N287" s="112"/>
      <c r="O287" s="42" t="s">
        <v>18</v>
      </c>
      <c r="P287" s="53"/>
      <c r="Q287" s="53"/>
      <c r="R287" s="16"/>
      <c r="S287" s="16"/>
      <c r="T287" s="16"/>
      <c r="U287" s="16"/>
      <c r="V287" s="16"/>
      <c r="W287" s="16"/>
      <c r="X287" s="16"/>
      <c r="Y287" s="16"/>
      <c r="Z287" s="16"/>
      <c r="AA287" s="16"/>
      <c r="AB287" s="45"/>
    </row>
    <row r="288" spans="1:28" ht="16" customHeight="1">
      <c r="A288" s="141"/>
      <c r="B288" s="142"/>
      <c r="C288" s="142"/>
      <c r="D288" s="73"/>
      <c r="E288" s="143"/>
      <c r="F288" s="211"/>
      <c r="G288" s="126"/>
      <c r="H288" s="43" t="s">
        <v>36</v>
      </c>
      <c r="I288" s="118"/>
      <c r="J288" s="118"/>
      <c r="K288" s="146"/>
      <c r="L288" s="117"/>
      <c r="M288" s="116"/>
      <c r="N288" s="112"/>
      <c r="O288" s="42" t="s">
        <v>20</v>
      </c>
      <c r="P288" s="15"/>
      <c r="Q288" s="15"/>
      <c r="R288" s="15"/>
      <c r="S288" s="15"/>
      <c r="T288" s="15"/>
      <c r="U288" s="15"/>
      <c r="V288" s="15"/>
      <c r="W288" s="15"/>
      <c r="X288" s="15"/>
      <c r="Y288" s="15"/>
      <c r="Z288" s="15"/>
      <c r="AA288" s="15"/>
      <c r="AB288" s="44"/>
    </row>
    <row r="289" spans="1:28" ht="16" customHeight="1">
      <c r="A289" s="141"/>
      <c r="B289" s="142"/>
      <c r="C289" s="142"/>
      <c r="D289" s="73"/>
      <c r="E289" s="143" t="s">
        <v>159</v>
      </c>
      <c r="F289" s="210" t="e">
        <f>[1]Sheet1!C99</f>
        <v>#REF!</v>
      </c>
      <c r="G289" s="125" t="e">
        <f>[1]Sheet1!B99</f>
        <v>#REF!</v>
      </c>
      <c r="H289" s="43" t="s">
        <v>25</v>
      </c>
      <c r="I289" s="118" t="s">
        <v>15</v>
      </c>
      <c r="J289" s="118" t="s">
        <v>30</v>
      </c>
      <c r="K289" s="55"/>
      <c r="L289" s="117"/>
      <c r="M289" s="116"/>
      <c r="N289" s="112"/>
      <c r="O289" s="42" t="s">
        <v>18</v>
      </c>
      <c r="P289" s="53"/>
      <c r="Q289" s="53"/>
      <c r="R289" s="16"/>
      <c r="S289" s="16"/>
      <c r="T289" s="16"/>
      <c r="U289" s="16"/>
      <c r="V289" s="16"/>
      <c r="W289" s="16"/>
      <c r="X289" s="16"/>
      <c r="Y289" s="16"/>
      <c r="Z289" s="16"/>
      <c r="AA289" s="16"/>
      <c r="AB289" s="45"/>
    </row>
    <row r="290" spans="1:28" ht="16" customHeight="1">
      <c r="A290" s="141"/>
      <c r="B290" s="142"/>
      <c r="C290" s="142"/>
      <c r="D290" s="73"/>
      <c r="E290" s="143"/>
      <c r="F290" s="211"/>
      <c r="G290" s="126"/>
      <c r="H290" s="43" t="s">
        <v>171</v>
      </c>
      <c r="I290" s="118"/>
      <c r="J290" s="118"/>
      <c r="K290" s="55"/>
      <c r="L290" s="117"/>
      <c r="M290" s="116"/>
      <c r="N290" s="112"/>
      <c r="O290" s="42" t="s">
        <v>20</v>
      </c>
      <c r="P290" s="15"/>
      <c r="Q290" s="15"/>
      <c r="R290" s="15"/>
      <c r="S290" s="15"/>
      <c r="T290" s="15"/>
      <c r="U290" s="15"/>
      <c r="V290" s="15"/>
      <c r="W290" s="15"/>
      <c r="X290" s="15"/>
      <c r="Y290" s="15"/>
      <c r="Z290" s="15"/>
      <c r="AA290" s="15"/>
      <c r="AB290" s="44"/>
    </row>
    <row r="291" spans="1:28" ht="16" customHeight="1">
      <c r="A291" s="141"/>
      <c r="B291" s="142"/>
      <c r="C291" s="142"/>
      <c r="D291" s="73"/>
      <c r="E291" s="143" t="s">
        <v>118</v>
      </c>
      <c r="F291" s="210" t="e">
        <f>[1]Sheet1!C101</f>
        <v>#REF!</v>
      </c>
      <c r="G291" s="125" t="e">
        <f>[1]Sheet1!B101</f>
        <v>#REF!</v>
      </c>
      <c r="H291" s="43" t="s">
        <v>23</v>
      </c>
      <c r="I291" s="118" t="s">
        <v>15</v>
      </c>
      <c r="J291" s="118" t="s">
        <v>30</v>
      </c>
      <c r="K291" s="55"/>
      <c r="L291" s="117"/>
      <c r="M291" s="116"/>
      <c r="N291" s="112"/>
      <c r="O291" s="42" t="s">
        <v>18</v>
      </c>
      <c r="P291" s="53"/>
      <c r="Q291" s="53"/>
      <c r="R291" s="16"/>
      <c r="S291" s="16"/>
      <c r="T291" s="16"/>
      <c r="U291" s="16"/>
      <c r="V291" s="16"/>
      <c r="W291" s="16"/>
      <c r="X291" s="16"/>
      <c r="Y291" s="16"/>
      <c r="Z291" s="16"/>
      <c r="AA291" s="16"/>
      <c r="AB291" s="45"/>
    </row>
    <row r="292" spans="1:28" ht="16" customHeight="1">
      <c r="A292" s="141"/>
      <c r="B292" s="142"/>
      <c r="C292" s="142"/>
      <c r="D292" s="73"/>
      <c r="E292" s="143"/>
      <c r="F292" s="211"/>
      <c r="G292" s="126"/>
      <c r="H292" s="43" t="s">
        <v>35</v>
      </c>
      <c r="I292" s="118"/>
      <c r="J292" s="118"/>
      <c r="K292" s="55"/>
      <c r="L292" s="117"/>
      <c r="M292" s="116"/>
      <c r="N292" s="112"/>
      <c r="O292" s="42" t="s">
        <v>20</v>
      </c>
      <c r="P292" s="15"/>
      <c r="Q292" s="15"/>
      <c r="R292" s="15"/>
      <c r="S292" s="15"/>
      <c r="T292" s="15"/>
      <c r="U292" s="15"/>
      <c r="V292" s="15"/>
      <c r="W292" s="15"/>
      <c r="X292" s="15"/>
      <c r="Y292" s="15"/>
      <c r="Z292" s="15"/>
      <c r="AA292" s="15"/>
      <c r="AB292" s="44"/>
    </row>
    <row r="293" spans="1:28" ht="16" customHeight="1">
      <c r="A293" s="141"/>
      <c r="B293" s="142"/>
      <c r="C293" s="142"/>
      <c r="D293" s="73"/>
      <c r="E293" s="143" t="s">
        <v>160</v>
      </c>
      <c r="F293" s="210" t="e">
        <f>[1]Sheet1!C103</f>
        <v>#REF!</v>
      </c>
      <c r="G293" s="125" t="e">
        <f>[1]Sheet1!B103</f>
        <v>#REF!</v>
      </c>
      <c r="H293" s="41" t="s">
        <v>34</v>
      </c>
      <c r="I293" s="118" t="s">
        <v>15</v>
      </c>
      <c r="J293" s="118" t="s">
        <v>30</v>
      </c>
      <c r="K293" s="146" t="s">
        <v>33</v>
      </c>
      <c r="L293" s="117"/>
      <c r="M293" s="116"/>
      <c r="N293" s="112"/>
      <c r="O293" s="42" t="s">
        <v>18</v>
      </c>
      <c r="P293" s="53"/>
      <c r="Q293" s="53"/>
      <c r="R293" s="16"/>
      <c r="S293" s="16"/>
      <c r="T293" s="16"/>
      <c r="U293" s="16"/>
      <c r="V293" s="16"/>
      <c r="W293" s="16"/>
      <c r="X293" s="16"/>
      <c r="Y293" s="16"/>
      <c r="Z293" s="16"/>
      <c r="AA293" s="16"/>
      <c r="AB293" s="45"/>
    </row>
    <row r="294" spans="1:28" ht="16" customHeight="1">
      <c r="A294" s="141"/>
      <c r="B294" s="142"/>
      <c r="C294" s="142"/>
      <c r="D294" s="73"/>
      <c r="E294" s="143"/>
      <c r="F294" s="211"/>
      <c r="G294" s="126"/>
      <c r="H294" s="43" t="s">
        <v>35</v>
      </c>
      <c r="I294" s="118"/>
      <c r="J294" s="118"/>
      <c r="K294" s="146"/>
      <c r="L294" s="117"/>
      <c r="M294" s="116"/>
      <c r="N294" s="112"/>
      <c r="O294" s="42" t="s">
        <v>20</v>
      </c>
      <c r="P294" s="15"/>
      <c r="Q294" s="15"/>
      <c r="R294" s="15"/>
      <c r="S294" s="15"/>
      <c r="T294" s="15"/>
      <c r="U294" s="15"/>
      <c r="V294" s="15"/>
      <c r="W294" s="15"/>
      <c r="X294" s="15"/>
      <c r="Y294" s="15"/>
      <c r="Z294" s="15"/>
      <c r="AA294" s="15"/>
      <c r="AB294" s="44"/>
    </row>
    <row r="295" spans="1:28" ht="16" customHeight="1">
      <c r="A295" s="141"/>
      <c r="B295" s="142"/>
      <c r="C295" s="142"/>
      <c r="D295" s="73"/>
      <c r="E295" s="143" t="s">
        <v>162</v>
      </c>
      <c r="F295" s="210" t="e">
        <f>[1]Sheet1!C105</f>
        <v>#REF!</v>
      </c>
      <c r="G295" s="125" t="e">
        <f>[1]Sheet1!B105</f>
        <v>#REF!</v>
      </c>
      <c r="H295" s="41" t="s">
        <v>34</v>
      </c>
      <c r="I295" s="118" t="s">
        <v>15</v>
      </c>
      <c r="J295" s="118" t="s">
        <v>30</v>
      </c>
      <c r="K295" s="146" t="s">
        <v>33</v>
      </c>
      <c r="L295" s="117"/>
      <c r="M295" s="116"/>
      <c r="N295" s="112"/>
      <c r="O295" s="42" t="s">
        <v>18</v>
      </c>
      <c r="P295" s="53"/>
      <c r="Q295" s="53"/>
      <c r="R295" s="16"/>
      <c r="S295" s="16"/>
      <c r="T295" s="16"/>
      <c r="U295" s="16"/>
      <c r="V295" s="16"/>
      <c r="W295" s="16"/>
      <c r="X295" s="16"/>
      <c r="Y295" s="16"/>
      <c r="Z295" s="16"/>
      <c r="AA295" s="16"/>
      <c r="AB295" s="45"/>
    </row>
    <row r="296" spans="1:28" ht="16" customHeight="1">
      <c r="A296" s="141"/>
      <c r="B296" s="142"/>
      <c r="C296" s="142"/>
      <c r="D296" s="73"/>
      <c r="E296" s="143"/>
      <c r="F296" s="211"/>
      <c r="G296" s="126"/>
      <c r="H296" s="43" t="s">
        <v>36</v>
      </c>
      <c r="I296" s="118"/>
      <c r="J296" s="118"/>
      <c r="K296" s="146"/>
      <c r="L296" s="117"/>
      <c r="M296" s="116"/>
      <c r="N296" s="112"/>
      <c r="O296" s="42" t="s">
        <v>20</v>
      </c>
      <c r="P296" s="15"/>
      <c r="Q296" s="15"/>
      <c r="R296" s="15"/>
      <c r="S296" s="15"/>
      <c r="T296" s="15"/>
      <c r="U296" s="15"/>
      <c r="V296" s="15"/>
      <c r="W296" s="15"/>
      <c r="X296" s="15"/>
      <c r="Y296" s="15"/>
      <c r="Z296" s="15"/>
      <c r="AA296" s="15"/>
      <c r="AB296" s="44"/>
    </row>
    <row r="297" spans="1:28" ht="16" customHeight="1">
      <c r="A297" s="141"/>
      <c r="B297" s="177" t="s">
        <v>104</v>
      </c>
      <c r="C297" s="185" t="s">
        <v>105</v>
      </c>
      <c r="D297" s="70"/>
      <c r="E297" s="144" t="s">
        <v>114</v>
      </c>
      <c r="F297" s="210" t="e">
        <f>[1]Sheet1!C107</f>
        <v>#REF!</v>
      </c>
      <c r="G297" s="125" t="e">
        <f>[1]Sheet1!B107</f>
        <v>#REF!</v>
      </c>
      <c r="H297" s="43" t="s">
        <v>14</v>
      </c>
      <c r="I297" s="118" t="s">
        <v>15</v>
      </c>
      <c r="J297" s="118" t="s">
        <v>30</v>
      </c>
      <c r="K297" s="130" t="s">
        <v>58</v>
      </c>
      <c r="L297" s="117"/>
      <c r="M297" s="116"/>
      <c r="N297" s="112"/>
      <c r="O297" s="42" t="s">
        <v>18</v>
      </c>
      <c r="P297" s="53"/>
      <c r="Q297" s="53"/>
      <c r="R297" s="16"/>
      <c r="S297" s="16"/>
      <c r="T297" s="16"/>
      <c r="U297" s="16"/>
      <c r="V297" s="16"/>
      <c r="W297" s="16"/>
      <c r="X297" s="16"/>
      <c r="Y297" s="16"/>
      <c r="Z297" s="16"/>
      <c r="AA297" s="16"/>
      <c r="AB297" s="45"/>
    </row>
    <row r="298" spans="1:28" ht="16" customHeight="1">
      <c r="A298" s="141"/>
      <c r="B298" s="178"/>
      <c r="C298" s="186"/>
      <c r="D298" s="71"/>
      <c r="E298" s="145"/>
      <c r="F298" s="211"/>
      <c r="G298" s="126"/>
      <c r="H298" s="43" t="s">
        <v>59</v>
      </c>
      <c r="I298" s="118"/>
      <c r="J298" s="118"/>
      <c r="K298" s="130"/>
      <c r="L298" s="117"/>
      <c r="M298" s="116"/>
      <c r="N298" s="112"/>
      <c r="O298" s="42" t="s">
        <v>20</v>
      </c>
      <c r="P298" s="15"/>
      <c r="Q298" s="15"/>
      <c r="R298" s="15"/>
      <c r="S298" s="15"/>
      <c r="T298" s="15"/>
      <c r="U298" s="15"/>
      <c r="V298" s="15"/>
      <c r="W298" s="15"/>
      <c r="X298" s="15"/>
      <c r="Y298" s="15"/>
      <c r="Z298" s="15"/>
      <c r="AA298" s="15"/>
      <c r="AB298" s="44"/>
    </row>
    <row r="299" spans="1:28" ht="16" customHeight="1">
      <c r="A299" s="141"/>
      <c r="B299" s="178"/>
      <c r="C299" s="186"/>
      <c r="D299" s="71"/>
      <c r="E299" s="188" t="s">
        <v>123</v>
      </c>
      <c r="F299" s="210" t="e">
        <f>[1]Sheet1!C109</f>
        <v>#REF!</v>
      </c>
      <c r="G299" s="125" t="e">
        <f>[1]Sheet1!B109</f>
        <v>#REF!</v>
      </c>
      <c r="H299" s="43" t="s">
        <v>14</v>
      </c>
      <c r="I299" s="118" t="s">
        <v>15</v>
      </c>
      <c r="J299" s="118" t="s">
        <v>30</v>
      </c>
      <c r="K299" s="130" t="s">
        <v>58</v>
      </c>
      <c r="L299" s="117"/>
      <c r="M299" s="116"/>
      <c r="N299" s="112"/>
      <c r="O299" s="42" t="s">
        <v>18</v>
      </c>
      <c r="P299" s="53"/>
      <c r="Q299" s="53"/>
      <c r="R299" s="16"/>
      <c r="S299" s="16"/>
      <c r="T299" s="16"/>
      <c r="U299" s="16"/>
      <c r="V299" s="16"/>
      <c r="W299" s="16"/>
      <c r="X299" s="16"/>
      <c r="Y299" s="16"/>
      <c r="Z299" s="16"/>
      <c r="AA299" s="16"/>
      <c r="AB299" s="45"/>
    </row>
    <row r="300" spans="1:28" ht="16" customHeight="1">
      <c r="A300" s="141"/>
      <c r="B300" s="178"/>
      <c r="C300" s="186"/>
      <c r="D300" s="71"/>
      <c r="E300" s="189"/>
      <c r="F300" s="211"/>
      <c r="G300" s="126"/>
      <c r="H300" s="43" t="s">
        <v>59</v>
      </c>
      <c r="I300" s="118"/>
      <c r="J300" s="118"/>
      <c r="K300" s="130"/>
      <c r="L300" s="117"/>
      <c r="M300" s="116"/>
      <c r="N300" s="112"/>
      <c r="O300" s="42" t="s">
        <v>20</v>
      </c>
      <c r="P300" s="15"/>
      <c r="Q300" s="15"/>
      <c r="R300" s="15"/>
      <c r="S300" s="15"/>
      <c r="T300" s="15"/>
      <c r="U300" s="15"/>
      <c r="V300" s="15"/>
      <c r="W300" s="15"/>
      <c r="X300" s="15"/>
      <c r="Y300" s="15"/>
      <c r="Z300" s="15"/>
      <c r="AA300" s="15"/>
      <c r="AB300" s="44"/>
    </row>
    <row r="301" spans="1:28" ht="16" customHeight="1">
      <c r="A301" s="141"/>
      <c r="B301" s="178"/>
      <c r="C301" s="186"/>
      <c r="D301" s="71"/>
      <c r="E301" s="144" t="s">
        <v>174</v>
      </c>
      <c r="F301" s="210" t="e">
        <f>[1]Sheet1!C111</f>
        <v>#REF!</v>
      </c>
      <c r="G301" s="125" t="e">
        <f>[1]Sheet1!B111</f>
        <v>#REF!</v>
      </c>
      <c r="H301" s="41" t="s">
        <v>34</v>
      </c>
      <c r="I301" s="118" t="s">
        <v>15</v>
      </c>
      <c r="J301" s="118" t="s">
        <v>30</v>
      </c>
      <c r="K301" s="130" t="s">
        <v>58</v>
      </c>
      <c r="L301" s="117"/>
      <c r="M301" s="116"/>
      <c r="N301" s="112"/>
      <c r="O301" s="42" t="s">
        <v>18</v>
      </c>
      <c r="P301" s="53"/>
      <c r="Q301" s="53"/>
      <c r="R301" s="16"/>
      <c r="S301" s="16"/>
      <c r="T301" s="16"/>
      <c r="U301" s="16"/>
      <c r="V301" s="16"/>
      <c r="W301" s="16"/>
      <c r="X301" s="16"/>
      <c r="Y301" s="16"/>
      <c r="Z301" s="16"/>
      <c r="AA301" s="16"/>
      <c r="AB301" s="45"/>
    </row>
    <row r="302" spans="1:28" ht="16" customHeight="1">
      <c r="A302" s="141"/>
      <c r="B302" s="178"/>
      <c r="C302" s="186"/>
      <c r="D302" s="71"/>
      <c r="E302" s="145"/>
      <c r="F302" s="211"/>
      <c r="G302" s="126"/>
      <c r="H302" s="43" t="s">
        <v>43</v>
      </c>
      <c r="I302" s="118"/>
      <c r="J302" s="118"/>
      <c r="K302" s="130"/>
      <c r="L302" s="117"/>
      <c r="M302" s="116"/>
      <c r="N302" s="112"/>
      <c r="O302" s="42" t="s">
        <v>20</v>
      </c>
      <c r="P302" s="15"/>
      <c r="Q302" s="15"/>
      <c r="R302" s="15"/>
      <c r="S302" s="15"/>
      <c r="T302" s="15"/>
      <c r="U302" s="15"/>
      <c r="V302" s="15"/>
      <c r="W302" s="15"/>
      <c r="X302" s="15"/>
      <c r="Y302" s="15"/>
      <c r="Z302" s="15"/>
      <c r="AA302" s="15"/>
      <c r="AB302" s="44"/>
    </row>
    <row r="303" spans="1:28" ht="16" customHeight="1">
      <c r="A303" s="141"/>
      <c r="B303" s="178"/>
      <c r="C303" s="186"/>
      <c r="D303" s="71"/>
      <c r="E303" s="144" t="s">
        <v>112</v>
      </c>
      <c r="F303" s="210" t="e">
        <f>[1]Sheet1!C113</f>
        <v>#REF!</v>
      </c>
      <c r="G303" s="125" t="e">
        <f>[1]Sheet1!B113</f>
        <v>#REF!</v>
      </c>
      <c r="H303" s="41" t="s">
        <v>34</v>
      </c>
      <c r="I303" s="118" t="s">
        <v>15</v>
      </c>
      <c r="J303" s="118" t="s">
        <v>30</v>
      </c>
      <c r="K303" s="130" t="s">
        <v>58</v>
      </c>
      <c r="L303" s="117"/>
      <c r="M303" s="116"/>
      <c r="N303" s="112"/>
      <c r="O303" s="42" t="s">
        <v>18</v>
      </c>
      <c r="P303" s="53"/>
      <c r="Q303" s="53"/>
      <c r="R303" s="16"/>
      <c r="S303" s="16"/>
      <c r="T303" s="16"/>
      <c r="U303" s="16"/>
      <c r="V303" s="16"/>
      <c r="W303" s="16"/>
      <c r="X303" s="16"/>
      <c r="Y303" s="16"/>
      <c r="Z303" s="16"/>
      <c r="AA303" s="16"/>
      <c r="AB303" s="45"/>
    </row>
    <row r="304" spans="1:28" ht="16" customHeight="1">
      <c r="A304" s="141"/>
      <c r="B304" s="178"/>
      <c r="C304" s="186"/>
      <c r="D304" s="71"/>
      <c r="E304" s="145"/>
      <c r="F304" s="211"/>
      <c r="G304" s="126"/>
      <c r="H304" s="43" t="s">
        <v>19</v>
      </c>
      <c r="I304" s="118"/>
      <c r="J304" s="118"/>
      <c r="K304" s="130"/>
      <c r="L304" s="117"/>
      <c r="M304" s="116"/>
      <c r="N304" s="112"/>
      <c r="O304" s="42" t="s">
        <v>20</v>
      </c>
      <c r="P304" s="15"/>
      <c r="Q304" s="15"/>
      <c r="R304" s="15"/>
      <c r="S304" s="15"/>
      <c r="T304" s="15"/>
      <c r="U304" s="15"/>
      <c r="V304" s="15"/>
      <c r="W304" s="15"/>
      <c r="X304" s="15"/>
      <c r="Y304" s="15"/>
      <c r="Z304" s="15"/>
      <c r="AA304" s="15"/>
      <c r="AB304" s="44"/>
    </row>
    <row r="305" spans="1:28" ht="16" customHeight="1">
      <c r="A305" s="141"/>
      <c r="B305" s="178"/>
      <c r="C305" s="186"/>
      <c r="D305" s="71"/>
      <c r="E305" s="180" t="s">
        <v>113</v>
      </c>
      <c r="F305" s="210" t="e">
        <f>[1]Sheet1!C115</f>
        <v>#REF!</v>
      </c>
      <c r="G305" s="125" t="e">
        <f>[1]Sheet1!B115</f>
        <v>#REF!</v>
      </c>
      <c r="H305" s="41" t="s">
        <v>34</v>
      </c>
      <c r="I305" s="118" t="s">
        <v>15</v>
      </c>
      <c r="J305" s="118" t="s">
        <v>16</v>
      </c>
      <c r="K305" s="130" t="s">
        <v>58</v>
      </c>
      <c r="L305" s="117"/>
      <c r="M305" s="116"/>
      <c r="N305" s="112"/>
      <c r="O305" s="42" t="s">
        <v>18</v>
      </c>
      <c r="P305" s="53"/>
      <c r="Q305" s="53"/>
      <c r="R305" s="16"/>
      <c r="S305" s="16"/>
      <c r="T305" s="16"/>
      <c r="U305" s="16"/>
      <c r="V305" s="16"/>
      <c r="W305" s="16"/>
      <c r="X305" s="16"/>
      <c r="Y305" s="16"/>
      <c r="Z305" s="16"/>
      <c r="AA305" s="16"/>
      <c r="AB305" s="45"/>
    </row>
    <row r="306" spans="1:28" ht="16" customHeight="1">
      <c r="A306" s="141"/>
      <c r="B306" s="179"/>
      <c r="C306" s="187"/>
      <c r="D306" s="72"/>
      <c r="E306" s="181"/>
      <c r="F306" s="211"/>
      <c r="G306" s="126"/>
      <c r="H306" s="43" t="s">
        <v>110</v>
      </c>
      <c r="I306" s="118"/>
      <c r="J306" s="118"/>
      <c r="K306" s="130"/>
      <c r="L306" s="117"/>
      <c r="M306" s="116"/>
      <c r="N306" s="112"/>
      <c r="O306" s="42" t="s">
        <v>20</v>
      </c>
      <c r="P306" s="15"/>
      <c r="Q306" s="15"/>
      <c r="R306" s="15"/>
      <c r="S306" s="15"/>
      <c r="T306" s="15"/>
      <c r="U306" s="15"/>
      <c r="V306" s="15"/>
      <c r="W306" s="15"/>
      <c r="X306" s="15"/>
      <c r="Y306" s="15"/>
      <c r="Z306" s="15"/>
      <c r="AA306" s="15"/>
      <c r="AB306" s="44"/>
    </row>
  </sheetData>
  <autoFilter ref="C7:AB296" xr:uid="{F9D5DA82-C224-E04C-AA0F-FF433F27FE82}"/>
  <mergeCells count="1320">
    <mergeCell ref="F297:F298"/>
    <mergeCell ref="G297:G298"/>
    <mergeCell ref="F299:F300"/>
    <mergeCell ref="F301:F302"/>
    <mergeCell ref="F303:F304"/>
    <mergeCell ref="F305:F306"/>
    <mergeCell ref="F279:F280"/>
    <mergeCell ref="F281:F282"/>
    <mergeCell ref="F283:F284"/>
    <mergeCell ref="F285:F286"/>
    <mergeCell ref="F287:F288"/>
    <mergeCell ref="F289:F290"/>
    <mergeCell ref="F291:F292"/>
    <mergeCell ref="F293:F294"/>
    <mergeCell ref="F295:F296"/>
    <mergeCell ref="F269:F270"/>
    <mergeCell ref="G269:G270"/>
    <mergeCell ref="F271:F272"/>
    <mergeCell ref="G271:G272"/>
    <mergeCell ref="F273:F274"/>
    <mergeCell ref="G273:G274"/>
    <mergeCell ref="F275:F276"/>
    <mergeCell ref="G275:G276"/>
    <mergeCell ref="F277:F278"/>
    <mergeCell ref="G289:G290"/>
    <mergeCell ref="G299:G300"/>
    <mergeCell ref="G293:G294"/>
    <mergeCell ref="F95:F96"/>
    <mergeCell ref="F97:F98"/>
    <mergeCell ref="F243:F244"/>
    <mergeCell ref="F245:F246"/>
    <mergeCell ref="F247:F248"/>
    <mergeCell ref="F249:F250"/>
    <mergeCell ref="F251:F252"/>
    <mergeCell ref="F253:F254"/>
    <mergeCell ref="F255:F256"/>
    <mergeCell ref="F257:F258"/>
    <mergeCell ref="K79:K80"/>
    <mergeCell ref="G175:G176"/>
    <mergeCell ref="G177:G178"/>
    <mergeCell ref="G179:G180"/>
    <mergeCell ref="G181:G182"/>
    <mergeCell ref="G183:G184"/>
    <mergeCell ref="F205:F206"/>
    <mergeCell ref="G205:G206"/>
    <mergeCell ref="F165:F166"/>
    <mergeCell ref="F167:F168"/>
    <mergeCell ref="F169:F170"/>
    <mergeCell ref="F171:F172"/>
    <mergeCell ref="F173:F174"/>
    <mergeCell ref="F175:F176"/>
    <mergeCell ref="F177:F178"/>
    <mergeCell ref="F179:F180"/>
    <mergeCell ref="F181:F182"/>
    <mergeCell ref="F125:F126"/>
    <mergeCell ref="F127:F128"/>
    <mergeCell ref="F129:F130"/>
    <mergeCell ref="F131:F132"/>
    <mergeCell ref="F133:F134"/>
    <mergeCell ref="F63:F64"/>
    <mergeCell ref="F65:F66"/>
    <mergeCell ref="F67:F68"/>
    <mergeCell ref="F69:F70"/>
    <mergeCell ref="F71:F72"/>
    <mergeCell ref="F73:F74"/>
    <mergeCell ref="F75:F76"/>
    <mergeCell ref="F77:F78"/>
    <mergeCell ref="F43:F44"/>
    <mergeCell ref="F45:F46"/>
    <mergeCell ref="F47:F48"/>
    <mergeCell ref="F49:F50"/>
    <mergeCell ref="F51:F52"/>
    <mergeCell ref="F53:F54"/>
    <mergeCell ref="F55:F56"/>
    <mergeCell ref="K87:K88"/>
    <mergeCell ref="F139:F140"/>
    <mergeCell ref="F101:F102"/>
    <mergeCell ref="F103:F104"/>
    <mergeCell ref="F105:F106"/>
    <mergeCell ref="F107:F108"/>
    <mergeCell ref="F109:F110"/>
    <mergeCell ref="F111:F112"/>
    <mergeCell ref="F113:F114"/>
    <mergeCell ref="F115:F116"/>
    <mergeCell ref="F117:F118"/>
    <mergeCell ref="F83:F84"/>
    <mergeCell ref="F85:F86"/>
    <mergeCell ref="F87:F88"/>
    <mergeCell ref="F89:F90"/>
    <mergeCell ref="F91:F92"/>
    <mergeCell ref="F93:F94"/>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N61:N62"/>
    <mergeCell ref="N57:N58"/>
    <mergeCell ref="J37:J38"/>
    <mergeCell ref="L37:L38"/>
    <mergeCell ref="M37:M38"/>
    <mergeCell ref="N37:N38"/>
    <mergeCell ref="G37:G38"/>
    <mergeCell ref="N31:N32"/>
    <mergeCell ref="I29:I30"/>
    <mergeCell ref="J29:J30"/>
    <mergeCell ref="L29:L30"/>
    <mergeCell ref="M29:M30"/>
    <mergeCell ref="N29:N30"/>
    <mergeCell ref="F61:F62"/>
    <mergeCell ref="I59:I60"/>
    <mergeCell ref="J59:J60"/>
    <mergeCell ref="K59:K60"/>
    <mergeCell ref="L59:L60"/>
    <mergeCell ref="M59:M60"/>
    <mergeCell ref="N59:N60"/>
    <mergeCell ref="F57:F58"/>
    <mergeCell ref="F59:F60"/>
    <mergeCell ref="N53:N54"/>
    <mergeCell ref="E55:E56"/>
    <mergeCell ref="G55:G56"/>
    <mergeCell ref="I55:I56"/>
    <mergeCell ref="J55:J56"/>
    <mergeCell ref="K55:K56"/>
    <mergeCell ref="L55:L56"/>
    <mergeCell ref="M55:M56"/>
    <mergeCell ref="N55:N56"/>
    <mergeCell ref="G257:G258"/>
    <mergeCell ref="E53:E54"/>
    <mergeCell ref="G53:G54"/>
    <mergeCell ref="I53:I54"/>
    <mergeCell ref="J53:J54"/>
    <mergeCell ref="K53:K54"/>
    <mergeCell ref="L53:L54"/>
    <mergeCell ref="M53:M54"/>
    <mergeCell ref="E57:E58"/>
    <mergeCell ref="G57:G58"/>
    <mergeCell ref="I57:I58"/>
    <mergeCell ref="J57:J58"/>
    <mergeCell ref="K57:K58"/>
    <mergeCell ref="L57:L58"/>
    <mergeCell ref="M57:M58"/>
    <mergeCell ref="E61:E62"/>
    <mergeCell ref="G61:G62"/>
    <mergeCell ref="I61:I62"/>
    <mergeCell ref="J61:J62"/>
    <mergeCell ref="K61:K62"/>
    <mergeCell ref="L61:L62"/>
    <mergeCell ref="M61:M62"/>
    <mergeCell ref="G243:G244"/>
    <mergeCell ref="G245:G246"/>
    <mergeCell ref="G247:G248"/>
    <mergeCell ref="G249:G250"/>
    <mergeCell ref="G251:G252"/>
    <mergeCell ref="G253:G254"/>
    <mergeCell ref="G255:G256"/>
    <mergeCell ref="G225:G226"/>
    <mergeCell ref="G227:G228"/>
    <mergeCell ref="G229:G230"/>
    <mergeCell ref="G233:G234"/>
    <mergeCell ref="G235:G236"/>
    <mergeCell ref="G237:G238"/>
    <mergeCell ref="G239:G240"/>
    <mergeCell ref="G241:G242"/>
    <mergeCell ref="G207:G208"/>
    <mergeCell ref="G209:G210"/>
    <mergeCell ref="G211:G212"/>
    <mergeCell ref="G213:G214"/>
    <mergeCell ref="G215:G216"/>
    <mergeCell ref="G217:G218"/>
    <mergeCell ref="G219:G220"/>
    <mergeCell ref="G221:G222"/>
    <mergeCell ref="G223:G224"/>
    <mergeCell ref="G193:G194"/>
    <mergeCell ref="G195:G196"/>
    <mergeCell ref="G197:G198"/>
    <mergeCell ref="G199:G200"/>
    <mergeCell ref="G201:G202"/>
    <mergeCell ref="G203:G204"/>
    <mergeCell ref="F223:F224"/>
    <mergeCell ref="F225:F226"/>
    <mergeCell ref="F227:F228"/>
    <mergeCell ref="F229:F230"/>
    <mergeCell ref="F231:F232"/>
    <mergeCell ref="G185:G186"/>
    <mergeCell ref="G187:G188"/>
    <mergeCell ref="G189:G190"/>
    <mergeCell ref="G191:G192"/>
    <mergeCell ref="F185:F186"/>
    <mergeCell ref="F187:F188"/>
    <mergeCell ref="F189:F190"/>
    <mergeCell ref="F191:F192"/>
    <mergeCell ref="F193:F194"/>
    <mergeCell ref="F195:F196"/>
    <mergeCell ref="F197:F198"/>
    <mergeCell ref="F199:F200"/>
    <mergeCell ref="F201:F202"/>
    <mergeCell ref="F203:F204"/>
    <mergeCell ref="F217:F218"/>
    <mergeCell ref="F207:F208"/>
    <mergeCell ref="F209:F210"/>
    <mergeCell ref="F211:F212"/>
    <mergeCell ref="F213:F214"/>
    <mergeCell ref="G231:G232"/>
    <mergeCell ref="G165:G166"/>
    <mergeCell ref="G167:G168"/>
    <mergeCell ref="F147:F148"/>
    <mergeCell ref="G133:G134"/>
    <mergeCell ref="G135:G136"/>
    <mergeCell ref="G137:G138"/>
    <mergeCell ref="G139:G140"/>
    <mergeCell ref="G141:G142"/>
    <mergeCell ref="G143:G144"/>
    <mergeCell ref="G145:G146"/>
    <mergeCell ref="G147:G148"/>
    <mergeCell ref="F143:F144"/>
    <mergeCell ref="F145:F146"/>
    <mergeCell ref="F149:F150"/>
    <mergeCell ref="F151:F152"/>
    <mergeCell ref="F153:F154"/>
    <mergeCell ref="F155:F156"/>
    <mergeCell ref="F141:F142"/>
    <mergeCell ref="F135:F136"/>
    <mergeCell ref="F137:F138"/>
    <mergeCell ref="G107:G108"/>
    <mergeCell ref="G83:G84"/>
    <mergeCell ref="G85:G86"/>
    <mergeCell ref="G87:G88"/>
    <mergeCell ref="G89:G90"/>
    <mergeCell ref="G91:G92"/>
    <mergeCell ref="G93:G94"/>
    <mergeCell ref="G95:G96"/>
    <mergeCell ref="G97:G98"/>
    <mergeCell ref="G43:G44"/>
    <mergeCell ref="G45:G46"/>
    <mergeCell ref="G47:G48"/>
    <mergeCell ref="G49:G50"/>
    <mergeCell ref="G51:G52"/>
    <mergeCell ref="G155:G156"/>
    <mergeCell ref="G157:G158"/>
    <mergeCell ref="G159:G160"/>
    <mergeCell ref="G59:G60"/>
    <mergeCell ref="K63:K64"/>
    <mergeCell ref="K65:K66"/>
    <mergeCell ref="K67:K68"/>
    <mergeCell ref="K69:K70"/>
    <mergeCell ref="K71:K72"/>
    <mergeCell ref="G63:G64"/>
    <mergeCell ref="G65:G66"/>
    <mergeCell ref="G67:G68"/>
    <mergeCell ref="G69:G70"/>
    <mergeCell ref="G71:G72"/>
    <mergeCell ref="G73:G74"/>
    <mergeCell ref="G75:G76"/>
    <mergeCell ref="G77:G78"/>
    <mergeCell ref="G79:G80"/>
    <mergeCell ref="G81:G82"/>
    <mergeCell ref="K105:K106"/>
    <mergeCell ref="I97:I98"/>
    <mergeCell ref="J97:J98"/>
    <mergeCell ref="J87:J88"/>
    <mergeCell ref="J69:J70"/>
    <mergeCell ref="G101:G102"/>
    <mergeCell ref="G103:G104"/>
    <mergeCell ref="G105:G106"/>
    <mergeCell ref="L105:L106"/>
    <mergeCell ref="M105:M106"/>
    <mergeCell ref="N105:N106"/>
    <mergeCell ref="E107:E108"/>
    <mergeCell ref="I107:I108"/>
    <mergeCell ref="J107:J108"/>
    <mergeCell ref="K107:K108"/>
    <mergeCell ref="L107:L108"/>
    <mergeCell ref="M107:M108"/>
    <mergeCell ref="N107:N108"/>
    <mergeCell ref="E173:E174"/>
    <mergeCell ref="I173:I174"/>
    <mergeCell ref="J173:J174"/>
    <mergeCell ref="K173:K174"/>
    <mergeCell ref="L173:L174"/>
    <mergeCell ref="M173:M174"/>
    <mergeCell ref="N173:N174"/>
    <mergeCell ref="G109:G110"/>
    <mergeCell ref="G111:G112"/>
    <mergeCell ref="G113:G114"/>
    <mergeCell ref="G115:G116"/>
    <mergeCell ref="G117:G118"/>
    <mergeCell ref="G119:G120"/>
    <mergeCell ref="G121:G122"/>
    <mergeCell ref="G123:G124"/>
    <mergeCell ref="G125:G126"/>
    <mergeCell ref="G127:G128"/>
    <mergeCell ref="G171:G172"/>
    <mergeCell ref="G173:G174"/>
    <mergeCell ref="M153:M154"/>
    <mergeCell ref="N153:N154"/>
    <mergeCell ref="G153:G154"/>
    <mergeCell ref="F183:F184"/>
    <mergeCell ref="F215:F216"/>
    <mergeCell ref="F219:F220"/>
    <mergeCell ref="F221:F222"/>
    <mergeCell ref="E119:E120"/>
    <mergeCell ref="I119:I120"/>
    <mergeCell ref="J119:J120"/>
    <mergeCell ref="K119:K120"/>
    <mergeCell ref="L119:L120"/>
    <mergeCell ref="M119:M120"/>
    <mergeCell ref="N119:N120"/>
    <mergeCell ref="E123:E124"/>
    <mergeCell ref="I123:I124"/>
    <mergeCell ref="J123:J124"/>
    <mergeCell ref="K123:K124"/>
    <mergeCell ref="L123:L124"/>
    <mergeCell ref="M123:M124"/>
    <mergeCell ref="N123:N124"/>
    <mergeCell ref="F119:F120"/>
    <mergeCell ref="F121:F122"/>
    <mergeCell ref="F123:F124"/>
    <mergeCell ref="J131:J132"/>
    <mergeCell ref="K131:K132"/>
    <mergeCell ref="L131:L132"/>
    <mergeCell ref="M131:M132"/>
    <mergeCell ref="N131:N132"/>
    <mergeCell ref="F157:F158"/>
    <mergeCell ref="F159:F160"/>
    <mergeCell ref="E153:E154"/>
    <mergeCell ref="I153:I154"/>
    <mergeCell ref="K153:K154"/>
    <mergeCell ref="L153:L154"/>
    <mergeCell ref="I233:I234"/>
    <mergeCell ref="J233:J234"/>
    <mergeCell ref="N233:N234"/>
    <mergeCell ref="N235:N236"/>
    <mergeCell ref="N237:N238"/>
    <mergeCell ref="I239:I240"/>
    <mergeCell ref="N239:N240"/>
    <mergeCell ref="E143:E144"/>
    <mergeCell ref="I143:I144"/>
    <mergeCell ref="J143:J144"/>
    <mergeCell ref="K143:K144"/>
    <mergeCell ref="L143:L144"/>
    <mergeCell ref="M143:M144"/>
    <mergeCell ref="N143:N144"/>
    <mergeCell ref="E145:E146"/>
    <mergeCell ref="I145:I146"/>
    <mergeCell ref="J145:J146"/>
    <mergeCell ref="K145:K146"/>
    <mergeCell ref="L145:L146"/>
    <mergeCell ref="M145:M146"/>
    <mergeCell ref="N145:N146"/>
    <mergeCell ref="E149:E150"/>
    <mergeCell ref="I149:I150"/>
    <mergeCell ref="K149:K150"/>
    <mergeCell ref="L149:L150"/>
    <mergeCell ref="M149:M150"/>
    <mergeCell ref="N149:N150"/>
    <mergeCell ref="E151:E152"/>
    <mergeCell ref="I151:I152"/>
    <mergeCell ref="K151:K152"/>
    <mergeCell ref="L151:L152"/>
    <mergeCell ref="M151:M152"/>
    <mergeCell ref="E231:E232"/>
    <mergeCell ref="I231:I232"/>
    <mergeCell ref="J231:J232"/>
    <mergeCell ref="K231:K232"/>
    <mergeCell ref="L231:L232"/>
    <mergeCell ref="M231:M232"/>
    <mergeCell ref="N231:N232"/>
    <mergeCell ref="E243:E244"/>
    <mergeCell ref="I243:I244"/>
    <mergeCell ref="J243:J244"/>
    <mergeCell ref="K243:K244"/>
    <mergeCell ref="L243:L244"/>
    <mergeCell ref="M243:M244"/>
    <mergeCell ref="N243:N244"/>
    <mergeCell ref="E117:E118"/>
    <mergeCell ref="I117:I118"/>
    <mergeCell ref="J117:J118"/>
    <mergeCell ref="K117:K118"/>
    <mergeCell ref="L117:L118"/>
    <mergeCell ref="M117:M118"/>
    <mergeCell ref="N117:N118"/>
    <mergeCell ref="E125:E126"/>
    <mergeCell ref="I125:I126"/>
    <mergeCell ref="J125:J126"/>
    <mergeCell ref="K125:K126"/>
    <mergeCell ref="L125:L126"/>
    <mergeCell ref="M125:M126"/>
    <mergeCell ref="N125:N126"/>
    <mergeCell ref="E121:E122"/>
    <mergeCell ref="I121:I122"/>
    <mergeCell ref="J121:J122"/>
    <mergeCell ref="E233:E234"/>
    <mergeCell ref="C245:C258"/>
    <mergeCell ref="B245:B258"/>
    <mergeCell ref="E193:E194"/>
    <mergeCell ref="I193:I194"/>
    <mergeCell ref="J193:J194"/>
    <mergeCell ref="K193:K194"/>
    <mergeCell ref="L193:L194"/>
    <mergeCell ref="M193:M194"/>
    <mergeCell ref="N193:N194"/>
    <mergeCell ref="E195:E196"/>
    <mergeCell ref="I195:I196"/>
    <mergeCell ref="J195:J196"/>
    <mergeCell ref="K195:K196"/>
    <mergeCell ref="L195:L196"/>
    <mergeCell ref="M195:M196"/>
    <mergeCell ref="N195:N196"/>
    <mergeCell ref="E197:E198"/>
    <mergeCell ref="I197:I198"/>
    <mergeCell ref="J197:J198"/>
    <mergeCell ref="K197:K198"/>
    <mergeCell ref="L197:L198"/>
    <mergeCell ref="I241:I242"/>
    <mergeCell ref="J241:J242"/>
    <mergeCell ref="N241:N242"/>
    <mergeCell ref="F233:F234"/>
    <mergeCell ref="F235:F236"/>
    <mergeCell ref="F237:F238"/>
    <mergeCell ref="F239:F240"/>
    <mergeCell ref="F241:F242"/>
    <mergeCell ref="L229:L230"/>
    <mergeCell ref="M229:M230"/>
    <mergeCell ref="N229:N230"/>
    <mergeCell ref="G13:G14"/>
    <mergeCell ref="G15:G16"/>
    <mergeCell ref="G21:G22"/>
    <mergeCell ref="G23:G24"/>
    <mergeCell ref="G25:G26"/>
    <mergeCell ref="G27:G28"/>
    <mergeCell ref="G29:G30"/>
    <mergeCell ref="G31:G32"/>
    <mergeCell ref="E51:E52"/>
    <mergeCell ref="I51:I52"/>
    <mergeCell ref="J51:J52"/>
    <mergeCell ref="K51:K52"/>
    <mergeCell ref="L51:L52"/>
    <mergeCell ref="M51:M52"/>
    <mergeCell ref="N51:N52"/>
    <mergeCell ref="K201:K202"/>
    <mergeCell ref="L201:L202"/>
    <mergeCell ref="M201:M202"/>
    <mergeCell ref="N201:N202"/>
    <mergeCell ref="K115:K116"/>
    <mergeCell ref="E141:E142"/>
    <mergeCell ref="I141:I142"/>
    <mergeCell ref="J141:J142"/>
    <mergeCell ref="K141:K142"/>
    <mergeCell ref="L141:L142"/>
    <mergeCell ref="M141:M142"/>
    <mergeCell ref="N141:N142"/>
    <mergeCell ref="E129:E130"/>
    <mergeCell ref="I129:I130"/>
    <mergeCell ref="J129:J130"/>
    <mergeCell ref="K129:K130"/>
    <mergeCell ref="L129:L130"/>
    <mergeCell ref="K253:K254"/>
    <mergeCell ref="L253:L254"/>
    <mergeCell ref="M253:M254"/>
    <mergeCell ref="N253:N254"/>
    <mergeCell ref="E217:E218"/>
    <mergeCell ref="I217:I218"/>
    <mergeCell ref="J217:J218"/>
    <mergeCell ref="K217:K218"/>
    <mergeCell ref="L217:L218"/>
    <mergeCell ref="M217:M218"/>
    <mergeCell ref="N217:N218"/>
    <mergeCell ref="I221:I222"/>
    <mergeCell ref="J221:J222"/>
    <mergeCell ref="L221:L222"/>
    <mergeCell ref="M221:M222"/>
    <mergeCell ref="M197:M198"/>
    <mergeCell ref="B9:B62"/>
    <mergeCell ref="E17:E18"/>
    <mergeCell ref="I17:I18"/>
    <mergeCell ref="J17:J18"/>
    <mergeCell ref="K17:K18"/>
    <mergeCell ref="L17:L18"/>
    <mergeCell ref="M17:M18"/>
    <mergeCell ref="N17:N18"/>
    <mergeCell ref="E19:E20"/>
    <mergeCell ref="K19:K20"/>
    <mergeCell ref="L19:L20"/>
    <mergeCell ref="M19:M20"/>
    <mergeCell ref="N19:N20"/>
    <mergeCell ref="I23:I24"/>
    <mergeCell ref="G9:G10"/>
    <mergeCell ref="G11:G12"/>
    <mergeCell ref="E255:E256"/>
    <mergeCell ref="I255:I256"/>
    <mergeCell ref="J255:J256"/>
    <mergeCell ref="K255:K256"/>
    <mergeCell ref="L255:L256"/>
    <mergeCell ref="M255:M256"/>
    <mergeCell ref="N255:N256"/>
    <mergeCell ref="E245:E246"/>
    <mergeCell ref="I245:I246"/>
    <mergeCell ref="J245:J246"/>
    <mergeCell ref="K245:K246"/>
    <mergeCell ref="L245:L246"/>
    <mergeCell ref="M245:M246"/>
    <mergeCell ref="N245:N246"/>
    <mergeCell ref="E247:E248"/>
    <mergeCell ref="I247:I248"/>
    <mergeCell ref="J247:J248"/>
    <mergeCell ref="K247:K248"/>
    <mergeCell ref="L247:L248"/>
    <mergeCell ref="M247:M248"/>
    <mergeCell ref="N247:N248"/>
    <mergeCell ref="E249:E250"/>
    <mergeCell ref="I249:I250"/>
    <mergeCell ref="J249:J250"/>
    <mergeCell ref="K249:K250"/>
    <mergeCell ref="L249:L250"/>
    <mergeCell ref="M249:M250"/>
    <mergeCell ref="N249:N250"/>
    <mergeCell ref="E251:E252"/>
    <mergeCell ref="E253:E254"/>
    <mergeCell ref="I253:I254"/>
    <mergeCell ref="J253:J254"/>
    <mergeCell ref="B217:B244"/>
    <mergeCell ref="C217:C244"/>
    <mergeCell ref="E225:E226"/>
    <mergeCell ref="I225:I226"/>
    <mergeCell ref="J225:J226"/>
    <mergeCell ref="K225:K226"/>
    <mergeCell ref="L225:L226"/>
    <mergeCell ref="M225:M226"/>
    <mergeCell ref="N225:N226"/>
    <mergeCell ref="E223:E224"/>
    <mergeCell ref="I223:I224"/>
    <mergeCell ref="J223:J224"/>
    <mergeCell ref="L223:L224"/>
    <mergeCell ref="M223:M224"/>
    <mergeCell ref="N223:N224"/>
    <mergeCell ref="K223:K224"/>
    <mergeCell ref="E227:E228"/>
    <mergeCell ref="I227:I228"/>
    <mergeCell ref="J227:J228"/>
    <mergeCell ref="K227:K228"/>
    <mergeCell ref="L227:L228"/>
    <mergeCell ref="M227:M228"/>
    <mergeCell ref="N227:N228"/>
    <mergeCell ref="E229:E230"/>
    <mergeCell ref="I229:I230"/>
    <mergeCell ref="J229:J230"/>
    <mergeCell ref="I219:I220"/>
    <mergeCell ref="J219:J220"/>
    <mergeCell ref="L219:L220"/>
    <mergeCell ref="M219:M220"/>
    <mergeCell ref="N219:N220"/>
    <mergeCell ref="E221:E222"/>
    <mergeCell ref="E15:E16"/>
    <mergeCell ref="I15:I16"/>
    <mergeCell ref="L15:L16"/>
    <mergeCell ref="J15:J16"/>
    <mergeCell ref="N15:N16"/>
    <mergeCell ref="G17:G18"/>
    <mergeCell ref="I21:I22"/>
    <mergeCell ref="J21:J22"/>
    <mergeCell ref="K21:K22"/>
    <mergeCell ref="L21:L22"/>
    <mergeCell ref="M21:M22"/>
    <mergeCell ref="G19:G20"/>
    <mergeCell ref="I19:I20"/>
    <mergeCell ref="J19:J20"/>
    <mergeCell ref="K23:K24"/>
    <mergeCell ref="L23:L24"/>
    <mergeCell ref="E213:E214"/>
    <mergeCell ref="I213:I214"/>
    <mergeCell ref="J213:J214"/>
    <mergeCell ref="L213:L214"/>
    <mergeCell ref="M213:M214"/>
    <mergeCell ref="E47:E48"/>
    <mergeCell ref="I47:I48"/>
    <mergeCell ref="J47:J48"/>
    <mergeCell ref="K47:K48"/>
    <mergeCell ref="L47:L48"/>
    <mergeCell ref="M47:M48"/>
    <mergeCell ref="N47:N48"/>
    <mergeCell ref="E49:E50"/>
    <mergeCell ref="I49:I50"/>
    <mergeCell ref="J49:J50"/>
    <mergeCell ref="K49:K50"/>
    <mergeCell ref="M209:M210"/>
    <mergeCell ref="N209:N210"/>
    <mergeCell ref="E211:E212"/>
    <mergeCell ref="I211:I212"/>
    <mergeCell ref="J211:J212"/>
    <mergeCell ref="L211:L212"/>
    <mergeCell ref="M211:M212"/>
    <mergeCell ref="N211:N212"/>
    <mergeCell ref="N221:N222"/>
    <mergeCell ref="K219:K220"/>
    <mergeCell ref="K221:K222"/>
    <mergeCell ref="M23:M24"/>
    <mergeCell ref="E21:E22"/>
    <mergeCell ref="N21:N22"/>
    <mergeCell ref="E23:E24"/>
    <mergeCell ref="N23:N24"/>
    <mergeCell ref="J149:J150"/>
    <mergeCell ref="J151:J152"/>
    <mergeCell ref="J153:J154"/>
    <mergeCell ref="L49:L50"/>
    <mergeCell ref="M49:M50"/>
    <mergeCell ref="N49:N50"/>
    <mergeCell ref="E203:E204"/>
    <mergeCell ref="I203:I204"/>
    <mergeCell ref="J203:J204"/>
    <mergeCell ref="K203:K204"/>
    <mergeCell ref="L203:L204"/>
    <mergeCell ref="M203:M204"/>
    <mergeCell ref="N203:N204"/>
    <mergeCell ref="M129:M130"/>
    <mergeCell ref="N129:N130"/>
    <mergeCell ref="E131:E132"/>
    <mergeCell ref="L199:L200"/>
    <mergeCell ref="M199:M200"/>
    <mergeCell ref="N199:N200"/>
    <mergeCell ref="E201:E202"/>
    <mergeCell ref="I201:I202"/>
    <mergeCell ref="J201:J202"/>
    <mergeCell ref="B205:B216"/>
    <mergeCell ref="C205:C216"/>
    <mergeCell ref="E205:E206"/>
    <mergeCell ref="I205:I206"/>
    <mergeCell ref="J205:J206"/>
    <mergeCell ref="L205:L206"/>
    <mergeCell ref="M205:M206"/>
    <mergeCell ref="N205:N206"/>
    <mergeCell ref="E207:E208"/>
    <mergeCell ref="I207:I208"/>
    <mergeCell ref="J207:J208"/>
    <mergeCell ref="L207:L208"/>
    <mergeCell ref="M207:M208"/>
    <mergeCell ref="N207:N208"/>
    <mergeCell ref="E209:E210"/>
    <mergeCell ref="I209:I210"/>
    <mergeCell ref="J209:J210"/>
    <mergeCell ref="N213:N214"/>
    <mergeCell ref="E215:E216"/>
    <mergeCell ref="I215:I216"/>
    <mergeCell ref="J215:J216"/>
    <mergeCell ref="K215:K216"/>
    <mergeCell ref="L215:L216"/>
    <mergeCell ref="M215:M216"/>
    <mergeCell ref="N215:N216"/>
    <mergeCell ref="L209:L210"/>
    <mergeCell ref="B185:B204"/>
    <mergeCell ref="C185:C204"/>
    <mergeCell ref="E185:E186"/>
    <mergeCell ref="I185:I186"/>
    <mergeCell ref="J185:J186"/>
    <mergeCell ref="L185:L186"/>
    <mergeCell ref="M185:M186"/>
    <mergeCell ref="N185:N186"/>
    <mergeCell ref="E187:E188"/>
    <mergeCell ref="I187:I188"/>
    <mergeCell ref="J187:J188"/>
    <mergeCell ref="L187:L188"/>
    <mergeCell ref="M187:M188"/>
    <mergeCell ref="N187:N188"/>
    <mergeCell ref="E189:E190"/>
    <mergeCell ref="I189:I190"/>
    <mergeCell ref="J189:J190"/>
    <mergeCell ref="L189:L190"/>
    <mergeCell ref="M189:M190"/>
    <mergeCell ref="N189:N190"/>
    <mergeCell ref="E191:E192"/>
    <mergeCell ref="I191:I192"/>
    <mergeCell ref="J191:J192"/>
    <mergeCell ref="K191:K192"/>
    <mergeCell ref="L191:L192"/>
    <mergeCell ref="M191:M192"/>
    <mergeCell ref="N191:N192"/>
    <mergeCell ref="N197:N198"/>
    <mergeCell ref="E199:E200"/>
    <mergeCell ref="I199:I200"/>
    <mergeCell ref="J199:J200"/>
    <mergeCell ref="K199:K200"/>
    <mergeCell ref="I171:I172"/>
    <mergeCell ref="J171:J172"/>
    <mergeCell ref="K171:K172"/>
    <mergeCell ref="L171:L172"/>
    <mergeCell ref="M171:M172"/>
    <mergeCell ref="N171:N172"/>
    <mergeCell ref="E167:E168"/>
    <mergeCell ref="I167:I168"/>
    <mergeCell ref="J167:J168"/>
    <mergeCell ref="K167:K168"/>
    <mergeCell ref="L167:L168"/>
    <mergeCell ref="M167:M168"/>
    <mergeCell ref="N167:N168"/>
    <mergeCell ref="E169:E170"/>
    <mergeCell ref="I169:I170"/>
    <mergeCell ref="J169:J170"/>
    <mergeCell ref="K169:K170"/>
    <mergeCell ref="L169:L170"/>
    <mergeCell ref="M169:M170"/>
    <mergeCell ref="N169:N170"/>
    <mergeCell ref="G169:G170"/>
    <mergeCell ref="B163:B184"/>
    <mergeCell ref="C163:C184"/>
    <mergeCell ref="E163:E164"/>
    <mergeCell ref="I163:I164"/>
    <mergeCell ref="J163:J164"/>
    <mergeCell ref="K163:K164"/>
    <mergeCell ref="L163:L164"/>
    <mergeCell ref="M163:M164"/>
    <mergeCell ref="N163:N164"/>
    <mergeCell ref="E165:E166"/>
    <mergeCell ref="I165:I166"/>
    <mergeCell ref="J165:J166"/>
    <mergeCell ref="K165:K166"/>
    <mergeCell ref="L165:L166"/>
    <mergeCell ref="M165:M166"/>
    <mergeCell ref="N165:N166"/>
    <mergeCell ref="J161:J162"/>
    <mergeCell ref="K161:K162"/>
    <mergeCell ref="L161:L162"/>
    <mergeCell ref="M161:M162"/>
    <mergeCell ref="N161:N162"/>
    <mergeCell ref="B155:B162"/>
    <mergeCell ref="C155:C162"/>
    <mergeCell ref="E155:E156"/>
    <mergeCell ref="I155:I156"/>
    <mergeCell ref="J155:J156"/>
    <mergeCell ref="K155:K156"/>
    <mergeCell ref="L155:L156"/>
    <mergeCell ref="M155:M156"/>
    <mergeCell ref="N155:N156"/>
    <mergeCell ref="E157:E158"/>
    <mergeCell ref="E171:E172"/>
    <mergeCell ref="E161:E162"/>
    <mergeCell ref="I161:I162"/>
    <mergeCell ref="F161:F162"/>
    <mergeCell ref="F163:F164"/>
    <mergeCell ref="I137:I138"/>
    <mergeCell ref="J137:J138"/>
    <mergeCell ref="K137:K138"/>
    <mergeCell ref="L137:L138"/>
    <mergeCell ref="M137:M138"/>
    <mergeCell ref="N137:N138"/>
    <mergeCell ref="E139:E140"/>
    <mergeCell ref="I139:I140"/>
    <mergeCell ref="J139:J140"/>
    <mergeCell ref="L139:L140"/>
    <mergeCell ref="M139:M140"/>
    <mergeCell ref="N139:N140"/>
    <mergeCell ref="K139:K140"/>
    <mergeCell ref="K157:K158"/>
    <mergeCell ref="N151:N152"/>
    <mergeCell ref="G149:G150"/>
    <mergeCell ref="G151:G152"/>
    <mergeCell ref="E147:E148"/>
    <mergeCell ref="I147:I148"/>
    <mergeCell ref="J147:J148"/>
    <mergeCell ref="K147:K148"/>
    <mergeCell ref="L147:L148"/>
    <mergeCell ref="M147:M148"/>
    <mergeCell ref="N147:N148"/>
    <mergeCell ref="G161:G162"/>
    <mergeCell ref="G163:G164"/>
    <mergeCell ref="E127:E128"/>
    <mergeCell ref="I127:I128"/>
    <mergeCell ref="J127:J128"/>
    <mergeCell ref="K127:K128"/>
    <mergeCell ref="L127:L128"/>
    <mergeCell ref="M127:M128"/>
    <mergeCell ref="N127:N128"/>
    <mergeCell ref="I157:I158"/>
    <mergeCell ref="J157:J158"/>
    <mergeCell ref="L157:L158"/>
    <mergeCell ref="M157:M158"/>
    <mergeCell ref="N157:N158"/>
    <mergeCell ref="E159:E160"/>
    <mergeCell ref="I159:I160"/>
    <mergeCell ref="J159:J160"/>
    <mergeCell ref="K159:K160"/>
    <mergeCell ref="L159:L160"/>
    <mergeCell ref="M159:M160"/>
    <mergeCell ref="N159:N160"/>
    <mergeCell ref="I131:I132"/>
    <mergeCell ref="K135:K136"/>
    <mergeCell ref="G129:G130"/>
    <mergeCell ref="G131:G132"/>
    <mergeCell ref="I113:I114"/>
    <mergeCell ref="J113:J114"/>
    <mergeCell ref="K113:K114"/>
    <mergeCell ref="L113:L114"/>
    <mergeCell ref="M113:M114"/>
    <mergeCell ref="N113:N114"/>
    <mergeCell ref="E115:E116"/>
    <mergeCell ref="B133:B154"/>
    <mergeCell ref="C133:C154"/>
    <mergeCell ref="E133:E134"/>
    <mergeCell ref="I133:I134"/>
    <mergeCell ref="J133:J134"/>
    <mergeCell ref="K133:K134"/>
    <mergeCell ref="L133:L134"/>
    <mergeCell ref="M133:M134"/>
    <mergeCell ref="N133:N134"/>
    <mergeCell ref="E135:E136"/>
    <mergeCell ref="I135:I136"/>
    <mergeCell ref="J135:J136"/>
    <mergeCell ref="L135:L136"/>
    <mergeCell ref="M135:M136"/>
    <mergeCell ref="N135:N136"/>
    <mergeCell ref="E137:E138"/>
    <mergeCell ref="I115:I116"/>
    <mergeCell ref="J115:J116"/>
    <mergeCell ref="L115:L116"/>
    <mergeCell ref="M115:M116"/>
    <mergeCell ref="N115:N116"/>
    <mergeCell ref="K121:K122"/>
    <mergeCell ref="L121:L122"/>
    <mergeCell ref="M121:M122"/>
    <mergeCell ref="N121:N122"/>
    <mergeCell ref="J101:J102"/>
    <mergeCell ref="K101:K102"/>
    <mergeCell ref="L101:L102"/>
    <mergeCell ref="M101:M102"/>
    <mergeCell ref="N101:N102"/>
    <mergeCell ref="E103:E104"/>
    <mergeCell ref="I103:I104"/>
    <mergeCell ref="J103:J104"/>
    <mergeCell ref="K103:K104"/>
    <mergeCell ref="L103:L104"/>
    <mergeCell ref="M103:M104"/>
    <mergeCell ref="N103:N104"/>
    <mergeCell ref="E105:E106"/>
    <mergeCell ref="I105:I106"/>
    <mergeCell ref="J105:J106"/>
    <mergeCell ref="B109:B132"/>
    <mergeCell ref="C109:C132"/>
    <mergeCell ref="E109:E110"/>
    <mergeCell ref="I109:I110"/>
    <mergeCell ref="J109:J110"/>
    <mergeCell ref="K109:K110"/>
    <mergeCell ref="L109:L110"/>
    <mergeCell ref="M109:M110"/>
    <mergeCell ref="N109:N110"/>
    <mergeCell ref="E111:E112"/>
    <mergeCell ref="I111:I112"/>
    <mergeCell ref="J111:J112"/>
    <mergeCell ref="K111:K112"/>
    <mergeCell ref="L111:L112"/>
    <mergeCell ref="M111:M112"/>
    <mergeCell ref="N111:N112"/>
    <mergeCell ref="E113:E114"/>
    <mergeCell ref="L97:L98"/>
    <mergeCell ref="M97:M98"/>
    <mergeCell ref="N97:N98"/>
    <mergeCell ref="E99:E100"/>
    <mergeCell ref="I99:I100"/>
    <mergeCell ref="J99:J100"/>
    <mergeCell ref="K99:K100"/>
    <mergeCell ref="L99:L100"/>
    <mergeCell ref="M99:M100"/>
    <mergeCell ref="N99:N100"/>
    <mergeCell ref="K97:K98"/>
    <mergeCell ref="G99:G100"/>
    <mergeCell ref="F99:F100"/>
    <mergeCell ref="B93:B108"/>
    <mergeCell ref="C93:C108"/>
    <mergeCell ref="E93:E94"/>
    <mergeCell ref="I93:I94"/>
    <mergeCell ref="J93:J94"/>
    <mergeCell ref="K93:K94"/>
    <mergeCell ref="L93:L94"/>
    <mergeCell ref="M93:M94"/>
    <mergeCell ref="N93:N94"/>
    <mergeCell ref="E95:E96"/>
    <mergeCell ref="I95:I96"/>
    <mergeCell ref="J95:J96"/>
    <mergeCell ref="K95:K96"/>
    <mergeCell ref="L95:L96"/>
    <mergeCell ref="M95:M96"/>
    <mergeCell ref="N95:N96"/>
    <mergeCell ref="E97:E98"/>
    <mergeCell ref="E101:E102"/>
    <mergeCell ref="I101:I102"/>
    <mergeCell ref="L91:L92"/>
    <mergeCell ref="M91:M92"/>
    <mergeCell ref="N91:N92"/>
    <mergeCell ref="B83:B92"/>
    <mergeCell ref="C83:C92"/>
    <mergeCell ref="E83:E84"/>
    <mergeCell ref="I83:I84"/>
    <mergeCell ref="J83:J84"/>
    <mergeCell ref="K83:K84"/>
    <mergeCell ref="L83:L84"/>
    <mergeCell ref="M83:M84"/>
    <mergeCell ref="N83:N84"/>
    <mergeCell ref="E85:E86"/>
    <mergeCell ref="I85:I86"/>
    <mergeCell ref="J85:J86"/>
    <mergeCell ref="K85:K86"/>
    <mergeCell ref="L85:L86"/>
    <mergeCell ref="M85:M86"/>
    <mergeCell ref="N85:N86"/>
    <mergeCell ref="K89:K90"/>
    <mergeCell ref="K91:K92"/>
    <mergeCell ref="E87:E88"/>
    <mergeCell ref="I87:I88"/>
    <mergeCell ref="N87:N88"/>
    <mergeCell ref="E79:E80"/>
    <mergeCell ref="I79:I80"/>
    <mergeCell ref="J79:J80"/>
    <mergeCell ref="L79:L80"/>
    <mergeCell ref="M79:M80"/>
    <mergeCell ref="N79:N80"/>
    <mergeCell ref="E81:E82"/>
    <mergeCell ref="I81:I82"/>
    <mergeCell ref="J81:J82"/>
    <mergeCell ref="K81:K82"/>
    <mergeCell ref="L81:L82"/>
    <mergeCell ref="M81:M82"/>
    <mergeCell ref="N81:N82"/>
    <mergeCell ref="F79:F80"/>
    <mergeCell ref="F81:F82"/>
    <mergeCell ref="E89:E90"/>
    <mergeCell ref="I89:I90"/>
    <mergeCell ref="J89:J90"/>
    <mergeCell ref="L89:L90"/>
    <mergeCell ref="M89:M90"/>
    <mergeCell ref="N89:N90"/>
    <mergeCell ref="N73:N74"/>
    <mergeCell ref="B75:B82"/>
    <mergeCell ref="C75:C82"/>
    <mergeCell ref="E75:E76"/>
    <mergeCell ref="I75:I76"/>
    <mergeCell ref="J75:J76"/>
    <mergeCell ref="K75:K76"/>
    <mergeCell ref="L75:L76"/>
    <mergeCell ref="M75:M76"/>
    <mergeCell ref="N75:N76"/>
    <mergeCell ref="E77:E78"/>
    <mergeCell ref="I77:I78"/>
    <mergeCell ref="J77:J78"/>
    <mergeCell ref="K77:K78"/>
    <mergeCell ref="L77:L78"/>
    <mergeCell ref="M77:M78"/>
    <mergeCell ref="N77:N78"/>
    <mergeCell ref="N69:N70"/>
    <mergeCell ref="E71:E72"/>
    <mergeCell ref="I71:I72"/>
    <mergeCell ref="J71:J72"/>
    <mergeCell ref="L71:L72"/>
    <mergeCell ref="M71:M72"/>
    <mergeCell ref="N71:N72"/>
    <mergeCell ref="B63:B74"/>
    <mergeCell ref="C63:C74"/>
    <mergeCell ref="E63:E64"/>
    <mergeCell ref="I63:I64"/>
    <mergeCell ref="J63:J64"/>
    <mergeCell ref="L63:L64"/>
    <mergeCell ref="M63:M64"/>
    <mergeCell ref="N63:N64"/>
    <mergeCell ref="E65:E66"/>
    <mergeCell ref="I65:I66"/>
    <mergeCell ref="J65:J66"/>
    <mergeCell ref="L65:L66"/>
    <mergeCell ref="M65:M66"/>
    <mergeCell ref="N65:N66"/>
    <mergeCell ref="E67:E68"/>
    <mergeCell ref="I67:I68"/>
    <mergeCell ref="J67:J68"/>
    <mergeCell ref="L67:L68"/>
    <mergeCell ref="M67:M68"/>
    <mergeCell ref="N67:N68"/>
    <mergeCell ref="E69:E70"/>
    <mergeCell ref="I69:I70"/>
    <mergeCell ref="E73:E74"/>
    <mergeCell ref="I73:I74"/>
    <mergeCell ref="J73:J74"/>
    <mergeCell ref="C43:C46"/>
    <mergeCell ref="E43:E44"/>
    <mergeCell ref="I43:I44"/>
    <mergeCell ref="J43:J44"/>
    <mergeCell ref="K43:K44"/>
    <mergeCell ref="L43:L44"/>
    <mergeCell ref="M43:M44"/>
    <mergeCell ref="N43:N44"/>
    <mergeCell ref="E45:E46"/>
    <mergeCell ref="I45:I46"/>
    <mergeCell ref="J45:J46"/>
    <mergeCell ref="K45:K46"/>
    <mergeCell ref="L45:L46"/>
    <mergeCell ref="M45:M46"/>
    <mergeCell ref="N45:N46"/>
    <mergeCell ref="C47:C62"/>
    <mergeCell ref="E39:E40"/>
    <mergeCell ref="I39:I40"/>
    <mergeCell ref="J39:J40"/>
    <mergeCell ref="L39:L40"/>
    <mergeCell ref="M39:M40"/>
    <mergeCell ref="N39:N40"/>
    <mergeCell ref="E41:E42"/>
    <mergeCell ref="I41:I42"/>
    <mergeCell ref="J41:J42"/>
    <mergeCell ref="L41:L42"/>
    <mergeCell ref="M41:M42"/>
    <mergeCell ref="N41:N42"/>
    <mergeCell ref="G39:G40"/>
    <mergeCell ref="G41:G42"/>
    <mergeCell ref="F41:F42"/>
    <mergeCell ref="E59:E60"/>
    <mergeCell ref="N33:N34"/>
    <mergeCell ref="E35:E36"/>
    <mergeCell ref="I35:I36"/>
    <mergeCell ref="J35:J36"/>
    <mergeCell ref="K35:K36"/>
    <mergeCell ref="L35:L36"/>
    <mergeCell ref="M35:M36"/>
    <mergeCell ref="N35:N36"/>
    <mergeCell ref="G33:G34"/>
    <mergeCell ref="G35:G36"/>
    <mergeCell ref="C25:C36"/>
    <mergeCell ref="E25:E26"/>
    <mergeCell ref="I25:I26"/>
    <mergeCell ref="J25:J26"/>
    <mergeCell ref="K25:K26"/>
    <mergeCell ref="L25:L26"/>
    <mergeCell ref="M25:M26"/>
    <mergeCell ref="N25:N26"/>
    <mergeCell ref="E27:E28"/>
    <mergeCell ref="I27:I28"/>
    <mergeCell ref="J27:J28"/>
    <mergeCell ref="K27:K28"/>
    <mergeCell ref="L27:L28"/>
    <mergeCell ref="M27:M28"/>
    <mergeCell ref="N27:N28"/>
    <mergeCell ref="E29:E30"/>
    <mergeCell ref="N9:N10"/>
    <mergeCell ref="E11:E12"/>
    <mergeCell ref="I11:I12"/>
    <mergeCell ref="J11:J12"/>
    <mergeCell ref="L11:L12"/>
    <mergeCell ref="M11:M12"/>
    <mergeCell ref="N11:N12"/>
    <mergeCell ref="E13:E14"/>
    <mergeCell ref="I13:I14"/>
    <mergeCell ref="J13:J14"/>
    <mergeCell ref="L13:L14"/>
    <mergeCell ref="M13:M14"/>
    <mergeCell ref="N13:N14"/>
    <mergeCell ref="A9:A46"/>
    <mergeCell ref="C9:C16"/>
    <mergeCell ref="E9:E10"/>
    <mergeCell ref="I9:I10"/>
    <mergeCell ref="J9:J10"/>
    <mergeCell ref="K9:K10"/>
    <mergeCell ref="L9:L10"/>
    <mergeCell ref="M9:M10"/>
    <mergeCell ref="K15:K16"/>
    <mergeCell ref="M15:M16"/>
    <mergeCell ref="I31:I32"/>
    <mergeCell ref="J31:J32"/>
    <mergeCell ref="K31:K32"/>
    <mergeCell ref="L31:L32"/>
    <mergeCell ref="M31:M32"/>
    <mergeCell ref="C37:C42"/>
    <mergeCell ref="E37:E38"/>
    <mergeCell ref="I37:I38"/>
    <mergeCell ref="E33:E34"/>
    <mergeCell ref="J273:J274"/>
    <mergeCell ref="E275:E276"/>
    <mergeCell ref="I275:I276"/>
    <mergeCell ref="J275:J276"/>
    <mergeCell ref="G291:G292"/>
    <mergeCell ref="E219:E220"/>
    <mergeCell ref="J235:J236"/>
    <mergeCell ref="K235:K236"/>
    <mergeCell ref="L235:L236"/>
    <mergeCell ref="M235:M236"/>
    <mergeCell ref="L273:L274"/>
    <mergeCell ref="M273:M274"/>
    <mergeCell ref="E237:E238"/>
    <mergeCell ref="J237:J238"/>
    <mergeCell ref="G287:G288"/>
    <mergeCell ref="J285:J286"/>
    <mergeCell ref="E31:E32"/>
    <mergeCell ref="I33:I34"/>
    <mergeCell ref="J33:J34"/>
    <mergeCell ref="K33:K34"/>
    <mergeCell ref="L33:L34"/>
    <mergeCell ref="M33:M34"/>
    <mergeCell ref="L69:L70"/>
    <mergeCell ref="M69:M70"/>
    <mergeCell ref="K73:K74"/>
    <mergeCell ref="L73:L74"/>
    <mergeCell ref="M73:M74"/>
    <mergeCell ref="L87:L88"/>
    <mergeCell ref="M87:M88"/>
    <mergeCell ref="E91:E92"/>
    <mergeCell ref="I91:I92"/>
    <mergeCell ref="J91:J92"/>
    <mergeCell ref="I257:I258"/>
    <mergeCell ref="E301:E302"/>
    <mergeCell ref="G283:G284"/>
    <mergeCell ref="K275:K276"/>
    <mergeCell ref="L275:L276"/>
    <mergeCell ref="M275:M276"/>
    <mergeCell ref="N275:N276"/>
    <mergeCell ref="E271:E272"/>
    <mergeCell ref="B279:B284"/>
    <mergeCell ref="K273:K274"/>
    <mergeCell ref="B297:B306"/>
    <mergeCell ref="E303:E304"/>
    <mergeCell ref="E305:E306"/>
    <mergeCell ref="E297:E298"/>
    <mergeCell ref="C279:C284"/>
    <mergeCell ref="C297:C306"/>
    <mergeCell ref="E281:E282"/>
    <mergeCell ref="E283:E284"/>
    <mergeCell ref="E299:E300"/>
    <mergeCell ref="B285:B296"/>
    <mergeCell ref="E289:E290"/>
    <mergeCell ref="I293:I294"/>
    <mergeCell ref="J293:J294"/>
    <mergeCell ref="K293:K294"/>
    <mergeCell ref="L295:L296"/>
    <mergeCell ref="N305:N306"/>
    <mergeCell ref="M301:M302"/>
    <mergeCell ref="E277:E278"/>
    <mergeCell ref="I277:I278"/>
    <mergeCell ref="J277:J278"/>
    <mergeCell ref="J269:J270"/>
    <mergeCell ref="I273:I274"/>
    <mergeCell ref="N301:N302"/>
    <mergeCell ref="M305:M306"/>
    <mergeCell ref="M303:M304"/>
    <mergeCell ref="N303:N304"/>
    <mergeCell ref="N299:N300"/>
    <mergeCell ref="M297:M298"/>
    <mergeCell ref="J297:J298"/>
    <mergeCell ref="I297:I298"/>
    <mergeCell ref="K297:K298"/>
    <mergeCell ref="L297:L298"/>
    <mergeCell ref="I301:I302"/>
    <mergeCell ref="K301:K302"/>
    <mergeCell ref="L301:L302"/>
    <mergeCell ref="I305:I306"/>
    <mergeCell ref="K305:K306"/>
    <mergeCell ref="L305:L306"/>
    <mergeCell ref="J301:J302"/>
    <mergeCell ref="J303:J304"/>
    <mergeCell ref="J305:J306"/>
    <mergeCell ref="I303:I304"/>
    <mergeCell ref="K303:K304"/>
    <mergeCell ref="L303:L304"/>
    <mergeCell ref="K299:K300"/>
    <mergeCell ref="J239:J240"/>
    <mergeCell ref="K239:K240"/>
    <mergeCell ref="L239:L240"/>
    <mergeCell ref="M239:M240"/>
    <mergeCell ref="AA7:AA8"/>
    <mergeCell ref="P7:P8"/>
    <mergeCell ref="Q7:Q8"/>
    <mergeCell ref="J7:J8"/>
    <mergeCell ref="K229:K230"/>
    <mergeCell ref="I295:I296"/>
    <mergeCell ref="L293:L294"/>
    <mergeCell ref="E287:E288"/>
    <mergeCell ref="I235:I236"/>
    <mergeCell ref="I237:I238"/>
    <mergeCell ref="J287:J288"/>
    <mergeCell ref="J295:J296"/>
    <mergeCell ref="E291:E292"/>
    <mergeCell ref="K285:K286"/>
    <mergeCell ref="N287:N288"/>
    <mergeCell ref="N289:N290"/>
    <mergeCell ref="N291:N292"/>
    <mergeCell ref="M295:M296"/>
    <mergeCell ref="M291:M292"/>
    <mergeCell ref="L285:L286"/>
    <mergeCell ref="M285:M286"/>
    <mergeCell ref="N293:N294"/>
    <mergeCell ref="N273:N274"/>
    <mergeCell ref="E293:E294"/>
    <mergeCell ref="M237:M238"/>
    <mergeCell ref="N295:N296"/>
    <mergeCell ref="M241:M242"/>
    <mergeCell ref="E257:E258"/>
    <mergeCell ref="Z1:AA2"/>
    <mergeCell ref="AB1:AB2"/>
    <mergeCell ref="C4:C5"/>
    <mergeCell ref="E4:E5"/>
    <mergeCell ref="P4:Q4"/>
    <mergeCell ref="R4:T4"/>
    <mergeCell ref="W4:Y5"/>
    <mergeCell ref="Z4:AB4"/>
    <mergeCell ref="P5:Q5"/>
    <mergeCell ref="R5:T5"/>
    <mergeCell ref="Z5:AB5"/>
    <mergeCell ref="B1:Y2"/>
    <mergeCell ref="AB7:AB8"/>
    <mergeCell ref="I7:I8"/>
    <mergeCell ref="K7:K8"/>
    <mergeCell ref="M7:M8"/>
    <mergeCell ref="N7:N8"/>
    <mergeCell ref="R7:R8"/>
    <mergeCell ref="S7:S8"/>
    <mergeCell ref="T7:T8"/>
    <mergeCell ref="U7:U8"/>
    <mergeCell ref="V7:V8"/>
    <mergeCell ref="L7:L8"/>
    <mergeCell ref="W7:W8"/>
    <mergeCell ref="X7:X8"/>
    <mergeCell ref="Y7:Y8"/>
    <mergeCell ref="Z7:Z8"/>
    <mergeCell ref="G295:G296"/>
    <mergeCell ref="G285:G286"/>
    <mergeCell ref="E279:E280"/>
    <mergeCell ref="K233:K234"/>
    <mergeCell ref="L233:L234"/>
    <mergeCell ref="M233:M234"/>
    <mergeCell ref="L251:L252"/>
    <mergeCell ref="M251:M252"/>
    <mergeCell ref="N251:N252"/>
    <mergeCell ref="K257:K258"/>
    <mergeCell ref="L257:L258"/>
    <mergeCell ref="M257:M258"/>
    <mergeCell ref="N257:N258"/>
    <mergeCell ref="I283:I284"/>
    <mergeCell ref="J283:J284"/>
    <mergeCell ref="K283:K284"/>
    <mergeCell ref="J279:J280"/>
    <mergeCell ref="K279:K280"/>
    <mergeCell ref="I281:I282"/>
    <mergeCell ref="J281:J282"/>
    <mergeCell ref="K281:K282"/>
    <mergeCell ref="I279:I280"/>
    <mergeCell ref="K241:K242"/>
    <mergeCell ref="L241:L242"/>
    <mergeCell ref="M293:M294"/>
    <mergeCell ref="K237:K238"/>
    <mergeCell ref="L237:L238"/>
    <mergeCell ref="K295:K296"/>
    <mergeCell ref="K287:K288"/>
    <mergeCell ref="L287:L288"/>
    <mergeCell ref="M287:M288"/>
    <mergeCell ref="N285:N286"/>
    <mergeCell ref="A7:A8"/>
    <mergeCell ref="G305:G306"/>
    <mergeCell ref="C7:C8"/>
    <mergeCell ref="E7:E8"/>
    <mergeCell ref="H7:H8"/>
    <mergeCell ref="B7:B8"/>
    <mergeCell ref="G279:G280"/>
    <mergeCell ref="G281:G282"/>
    <mergeCell ref="K277:K278"/>
    <mergeCell ref="L277:L278"/>
    <mergeCell ref="G277:G278"/>
    <mergeCell ref="I269:I270"/>
    <mergeCell ref="K269:K270"/>
    <mergeCell ref="L269:L270"/>
    <mergeCell ref="I271:I272"/>
    <mergeCell ref="J271:J272"/>
    <mergeCell ref="K271:K272"/>
    <mergeCell ref="L271:L272"/>
    <mergeCell ref="I251:I252"/>
    <mergeCell ref="J251:J252"/>
    <mergeCell ref="K251:K252"/>
    <mergeCell ref="J257:J258"/>
    <mergeCell ref="E239:E240"/>
    <mergeCell ref="E241:E242"/>
    <mergeCell ref="G301:G302"/>
    <mergeCell ref="G303:G304"/>
    <mergeCell ref="C269:C278"/>
    <mergeCell ref="E269:E270"/>
    <mergeCell ref="E235:E236"/>
    <mergeCell ref="A269:A306"/>
    <mergeCell ref="I299:I300"/>
    <mergeCell ref="J299:J300"/>
    <mergeCell ref="B269:B278"/>
    <mergeCell ref="N297:N298"/>
    <mergeCell ref="E273:E274"/>
    <mergeCell ref="L283:L284"/>
    <mergeCell ref="M283:M284"/>
    <mergeCell ref="N283:N284"/>
    <mergeCell ref="L279:L280"/>
    <mergeCell ref="M279:M280"/>
    <mergeCell ref="N279:N280"/>
    <mergeCell ref="L281:L282"/>
    <mergeCell ref="M281:M282"/>
    <mergeCell ref="N281:N282"/>
    <mergeCell ref="L299:L300"/>
    <mergeCell ref="M299:M300"/>
    <mergeCell ref="I291:I292"/>
    <mergeCell ref="J291:J292"/>
    <mergeCell ref="I289:I290"/>
    <mergeCell ref="J289:J290"/>
    <mergeCell ref="L289:L290"/>
    <mergeCell ref="L291:L292"/>
    <mergeCell ref="M289:M290"/>
    <mergeCell ref="M277:M278"/>
    <mergeCell ref="N277:N278"/>
    <mergeCell ref="N271:N272"/>
    <mergeCell ref="M269:M270"/>
    <mergeCell ref="N269:N270"/>
    <mergeCell ref="M271:M272"/>
    <mergeCell ref="C285:C296"/>
    <mergeCell ref="E285:E286"/>
    <mergeCell ref="I285:I286"/>
    <mergeCell ref="I287:I288"/>
    <mergeCell ref="E295:E296"/>
  </mergeCells>
  <phoneticPr fontId="42" type="noConversion"/>
  <conditionalFormatting sqref="P10:R10 P38:R38 V38:AB38 P44:R44 V44:AB44 P50:R50 V50:AB50 P148:R148 V148:AB148">
    <cfRule type="cellIs" dxfId="221" priority="65" operator="equal">
      <formula>""</formula>
    </cfRule>
    <cfRule type="cellIs" dxfId="220" priority="68" operator="lessThan">
      <formula>P9-(P9*$N9)</formula>
    </cfRule>
    <cfRule type="cellIs" dxfId="219" priority="67" operator="between">
      <formula>P9</formula>
      <formula>P9-(P9*$N9)</formula>
    </cfRule>
    <cfRule type="cellIs" dxfId="218" priority="66" operator="greaterThan">
      <formula>P9</formula>
    </cfRule>
  </conditionalFormatting>
  <conditionalFormatting sqref="P76:R76">
    <cfRule type="cellIs" dxfId="217" priority="60" operator="lessThan">
      <formula>P75-(P75*$N75)</formula>
    </cfRule>
    <cfRule type="cellIs" dxfId="216" priority="57" operator="equal">
      <formula>""</formula>
    </cfRule>
    <cfRule type="cellIs" dxfId="215" priority="58" operator="greaterThan">
      <formula>P75</formula>
    </cfRule>
    <cfRule type="cellIs" dxfId="214" priority="59" operator="between">
      <formula>P75</formula>
      <formula>P75-(P75*$N75)</formula>
    </cfRule>
  </conditionalFormatting>
  <conditionalFormatting sqref="P84:R84">
    <cfRule type="cellIs" dxfId="213" priority="53" operator="equal">
      <formula>""</formula>
    </cfRule>
    <cfRule type="cellIs" dxfId="212" priority="54" operator="greaterThan">
      <formula>P83</formula>
    </cfRule>
    <cfRule type="cellIs" dxfId="211" priority="55" operator="between">
      <formula>P83</formula>
      <formula>P83-(P83*$N83)</formula>
    </cfRule>
    <cfRule type="cellIs" dxfId="210" priority="56" operator="lessThan">
      <formula>P83-(P83*$N83)</formula>
    </cfRule>
  </conditionalFormatting>
  <conditionalFormatting sqref="P164:R164">
    <cfRule type="cellIs" dxfId="209" priority="33" operator="equal">
      <formula>""</formula>
    </cfRule>
    <cfRule type="cellIs" dxfId="208" priority="34" operator="greaterThan">
      <formula>P163</formula>
    </cfRule>
    <cfRule type="cellIs" dxfId="207" priority="35" operator="between">
      <formula>P163</formula>
      <formula>P163-(P163*$N163)</formula>
    </cfRule>
    <cfRule type="cellIs" dxfId="206" priority="36" operator="lessThan">
      <formula>P163-(P163*$N163)</formula>
    </cfRule>
  </conditionalFormatting>
  <conditionalFormatting sqref="P186:R186">
    <cfRule type="cellIs" dxfId="205" priority="29" operator="equal">
      <formula>""</formula>
    </cfRule>
    <cfRule type="cellIs" dxfId="204" priority="30" operator="greaterThan">
      <formula>P185</formula>
    </cfRule>
    <cfRule type="cellIs" dxfId="203" priority="32" operator="lessThan">
      <formula>P185-(P185*$N185)</formula>
    </cfRule>
    <cfRule type="cellIs" dxfId="202" priority="31" operator="between">
      <formula>P185</formula>
      <formula>P185-(P185*$N185)</formula>
    </cfRule>
  </conditionalFormatting>
  <conditionalFormatting sqref="P218:R218">
    <cfRule type="cellIs" dxfId="201" priority="9" operator="equal">
      <formula>""</formula>
    </cfRule>
    <cfRule type="cellIs" dxfId="200" priority="10" operator="greaterThan">
      <formula>P217</formula>
    </cfRule>
    <cfRule type="cellIs" dxfId="199" priority="11" operator="between">
      <formula>P217</formula>
      <formula>P217-(P217*$N217)</formula>
    </cfRule>
    <cfRule type="cellIs" dxfId="198" priority="12" operator="lessThan">
      <formula>P217-(P217*$N217)</formula>
    </cfRule>
  </conditionalFormatting>
  <conditionalFormatting sqref="P246:R246">
    <cfRule type="cellIs" dxfId="197" priority="6" operator="greaterThan">
      <formula>P245</formula>
    </cfRule>
    <cfRule type="cellIs" dxfId="196" priority="7" operator="between">
      <formula>P245</formula>
      <formula>P245-(P245*$N245)</formula>
    </cfRule>
    <cfRule type="cellIs" dxfId="195" priority="8" operator="lessThan">
      <formula>P245-(P245*$N245)</formula>
    </cfRule>
    <cfRule type="cellIs" dxfId="194" priority="5" operator="equal">
      <formula>""</formula>
    </cfRule>
  </conditionalFormatting>
  <conditionalFormatting sqref="P258:R258">
    <cfRule type="cellIs" dxfId="193" priority="1" operator="equal">
      <formula>""</formula>
    </cfRule>
    <cfRule type="cellIs" dxfId="192" priority="4" operator="lessThan">
      <formula>P257-(P257*$N257)</formula>
    </cfRule>
    <cfRule type="cellIs" dxfId="191" priority="3" operator="between">
      <formula>P257</formula>
      <formula>P257-(P257*$N257)</formula>
    </cfRule>
    <cfRule type="cellIs" dxfId="190" priority="2" operator="greaterThan">
      <formula>P257</formula>
    </cfRule>
  </conditionalFormatting>
  <conditionalFormatting sqref="V10:AB10 P12:R12 V12:AB12 P14:R14 V14:AB14 P26:R26 V26:AB26 P28:R30 V28:AB30 P32:R32 V32:AB32 P34:R34 V34:AB34 P36:R36 V36:AB36 P40:R40 V40:AB40 P42:R42 V42:AB42 P46:R46 V46:AB46 P48:R48 V48:AB48 P52:R52 V52:AB52 P54:R54 V54:AB54 P56:R56 V56:AB56 P58:R58 V58:AB58 P60:R60 V60:AB60 P62:R62 V62:AB62 P64:R64 V64:AB64 P66:R66 V66:AB66 P68:R68 V68:AB68 P70:R70 V70:AB70 P72:R72 V72:AB72 P74:R74 V74:AB74 V76:AB76 P78:R80 V78:AB80 P82:R82 V82:AB82 V84:AB84 P86:R88 V86:AB88 P90:R90 V90:AB90 P92:R92 V92:AB92 P94:R94 V94:AB94 P96:R96 V96:AB96 P98:R98 V98:AB98 P100:R100 V100:AB100 P102:R102 V102:AB102 P104:R104 V104:AB104 P106:R106 V106:AB106 P108:R108 V108:AB108 P110:R110 V110:AB110 P112:R112 V112:AB112 P114:R114 V114:AB114 P116:R116 V116:AB116 P118:R118 V118:AB118 P120:R120 V120:AB120 P122:R122 V122:AB122 P124:R124 V124:AB124 P126:R126 V126:AB126 P128:R128 V128:AB128 P130:R130 V130:AB130 P132:R132 V132:AB132 P134:R134 V134:AB134 P136:R136 V136:AB136 P138:R138 V138:AB138 P140:R140 V140:AB140 P142:R142 V142:AB142 P144:R144 V144:AB144 P146:R146 V146:AB146 P150:R150 V150:AB150 P152:R152 V152:AB152 P154:R154 V154:AB154 P156:R156 V156:AB156 P158:R158 V158:AB158 P160:R160 V160:AB160 P162:R162 V162:AB162 V164:AB164 P166:R168 V166:AB168 P170:R170 V170:AB170 P172:R174 V172:AB174 P176:R176 V176:AB176 P178:R178 V178:AB178 P180:R180 V180:AB180 P182:R182 V182:AB182 P184:R184 V184:AB184 V186:AB186 P188:R190 V188:AB190 P192:R192 V192:AB192 P194:R194 V194:AB194 P196:R196 V196:AB196 P198:R198 V198:AB198 P200:R200 V200:AB200 P202:R202 V202:AB202 P204:R204 V204:AB204 P206:R206 V206:AB206 P208:R210 V208:AB210 P212:R212 V212:AB212 P214:R214 V214:AB214 P216:R216 V216:AB216 V218:AB218 P220:R220 V220:AB220 P222:R222 V222:AB222 P224:R224 V224:AB224 P226:R226 V226:AB226 P228:R228 V228:AB228 P230:R230 V230:AB230 P232:R232 V232:AB232 P234:R234 V234:AB234 P236:R236 V236:AB236 P238:R238 V238:AB238 P240:R240 V240:AB240 P242:R242 V242:AB242 P244:R244 V244:AB244 V246:AB246 P248:R250 V248:AB250 P252:R252 V252:AB252 P254:R254 V254:AB254 P256:R256 V256:AB256 V258:AB258 P270:R270 V270:AB270 P272:R272 V272:AB272 P274:R274 V274:AB274 P276:R276 V276:AB276 P278:R278 V278:AB278 P280:R280 V280:AB280 P282:R282 V282:AB282 P284:R284 V284:AB284 P286:R286 V286:AB286 P288:R288 V288:AB288 P290:R290 V290:AB290 P292:R292 V292:AB292 P294:R294 V294:AB294 P296:R296 V296:AB296 P298:R298 V298:AB298 P300:R300 V300:AB300 P302:R302 V302:AB302 P304:R304 V304:AB304 P306:R306 V306:AB306">
    <cfRule type="cellIs" dxfId="189" priority="344" operator="equal">
      <formula>""</formula>
    </cfRule>
    <cfRule type="cellIs" dxfId="188" priority="345" operator="greaterThan">
      <formula>P9</formula>
    </cfRule>
    <cfRule type="cellIs" dxfId="187" priority="346" operator="between">
      <formula>P9</formula>
      <formula>P9-(P9*$N9)</formula>
    </cfRule>
    <cfRule type="cellIs" dxfId="186" priority="347" operator="lessThan">
      <formula>P9-(P9*$N9)</formula>
    </cfRule>
  </conditionalFormatting>
  <dataValidations disablePrompts="1" count="1">
    <dataValidation type="list" allowBlank="1" showInputMessage="1" showErrorMessage="1" sqref="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xr:uid="{C03B8F66-8FC1-475B-89B3-546EE999E768}">
      <formula1>"Group,Tychy, Chełmek 1, Chełmek 2,Italy, Spain, France, Brazil, China, India"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077FD-A1F0-452C-96E1-26F931CED0B9}">
  <dimension ref="A4"/>
  <sheetViews>
    <sheetView workbookViewId="0">
      <selection activeCell="A5" sqref="A5"/>
    </sheetView>
  </sheetViews>
  <sheetFormatPr baseColWidth="10" defaultColWidth="8.83203125" defaultRowHeight="15"/>
  <sheetData>
    <row r="4" spans="1:1">
      <c r="A4"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3172-1D3D-4E88-AFF9-19A4FE2F53DC}">
  <dimension ref="A1:K37"/>
  <sheetViews>
    <sheetView zoomScale="113" zoomScaleNormal="90" workbookViewId="0">
      <selection activeCell="C32" sqref="C32"/>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13</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44927</v>
      </c>
      <c r="B26" s="35"/>
      <c r="C26" s="35"/>
      <c r="D26" s="36"/>
      <c r="E26" s="37"/>
      <c r="F26" s="37"/>
      <c r="G26" s="38"/>
      <c r="H26" s="98"/>
      <c r="I26" s="99"/>
      <c r="J26" s="37"/>
      <c r="K26" s="38"/>
    </row>
    <row r="27" spans="1:11">
      <c r="A27" s="34">
        <v>44958</v>
      </c>
      <c r="B27" s="35"/>
      <c r="C27" s="35"/>
      <c r="D27" s="36"/>
      <c r="E27" s="37"/>
      <c r="F27" s="37"/>
      <c r="G27" s="38"/>
      <c r="H27" s="98"/>
      <c r="I27" s="99"/>
      <c r="J27" s="37"/>
      <c r="K27" s="38"/>
    </row>
    <row r="28" spans="1:11">
      <c r="A28" s="34">
        <v>44986</v>
      </c>
      <c r="B28" s="35"/>
      <c r="C28" s="35"/>
      <c r="D28" s="36"/>
      <c r="E28" s="37"/>
      <c r="F28" s="37"/>
      <c r="G28" s="38"/>
      <c r="H28" s="98"/>
      <c r="I28" s="99"/>
      <c r="J28" s="37"/>
      <c r="K28" s="38"/>
    </row>
    <row r="29" spans="1:11">
      <c r="A29" s="34">
        <v>45017</v>
      </c>
      <c r="B29" s="35"/>
      <c r="C29" s="35"/>
      <c r="D29" s="36"/>
      <c r="E29" s="37"/>
      <c r="F29" s="37"/>
      <c r="G29" s="38"/>
      <c r="H29" s="98"/>
      <c r="I29" s="99"/>
      <c r="J29" s="37"/>
      <c r="K29" s="38"/>
    </row>
    <row r="30" spans="1:11">
      <c r="A30" s="34">
        <v>45047</v>
      </c>
      <c r="B30" s="35"/>
      <c r="C30" s="35"/>
      <c r="D30" s="36"/>
      <c r="E30" s="37"/>
      <c r="F30" s="37"/>
      <c r="G30" s="38"/>
      <c r="H30" s="98"/>
      <c r="I30" s="99"/>
      <c r="J30" s="37"/>
      <c r="K30" s="38"/>
    </row>
    <row r="31" spans="1:11">
      <c r="A31" s="34">
        <v>45078</v>
      </c>
      <c r="B31" s="35"/>
      <c r="C31" s="35"/>
      <c r="D31" s="36"/>
      <c r="E31" s="39"/>
      <c r="F31" s="40"/>
      <c r="G31" s="38"/>
      <c r="H31" s="98"/>
      <c r="I31" s="99"/>
      <c r="J31" s="37"/>
      <c r="K31" s="38"/>
    </row>
    <row r="32" spans="1:11">
      <c r="A32" s="34">
        <v>45108</v>
      </c>
      <c r="B32" s="35"/>
      <c r="C32" s="35"/>
      <c r="D32" s="36"/>
      <c r="E32" s="40"/>
      <c r="F32" s="40"/>
      <c r="G32" s="38"/>
      <c r="H32" s="98"/>
      <c r="I32" s="99"/>
      <c r="J32" s="37"/>
      <c r="K32" s="38"/>
    </row>
    <row r="33" spans="1:11">
      <c r="A33" s="34">
        <v>45139</v>
      </c>
      <c r="B33" s="35"/>
      <c r="C33" s="35"/>
      <c r="D33" s="36"/>
      <c r="E33" s="37"/>
      <c r="F33" s="37"/>
      <c r="G33" s="38"/>
      <c r="H33" s="98"/>
      <c r="I33" s="99"/>
      <c r="J33" s="37"/>
      <c r="K33" s="38"/>
    </row>
    <row r="34" spans="1:11">
      <c r="A34" s="34">
        <v>45170</v>
      </c>
      <c r="B34" s="35"/>
      <c r="C34" s="35"/>
      <c r="D34" s="36"/>
      <c r="E34" s="37"/>
      <c r="F34" s="37"/>
      <c r="G34" s="38"/>
      <c r="H34" s="98"/>
      <c r="I34" s="99"/>
      <c r="J34" s="37"/>
      <c r="K34" s="38"/>
    </row>
    <row r="35" spans="1:11">
      <c r="A35" s="34">
        <v>45200</v>
      </c>
      <c r="B35" s="35"/>
      <c r="C35" s="35"/>
      <c r="D35" s="36"/>
      <c r="E35" s="37"/>
      <c r="F35" s="37"/>
      <c r="G35" s="38"/>
      <c r="H35" s="98"/>
      <c r="I35" s="99"/>
      <c r="J35" s="37"/>
      <c r="K35" s="38"/>
    </row>
    <row r="36" spans="1:11">
      <c r="A36" s="34">
        <v>45231</v>
      </c>
      <c r="B36" s="35"/>
      <c r="C36" s="35"/>
      <c r="D36" s="36"/>
      <c r="E36" s="37"/>
      <c r="F36" s="37"/>
      <c r="G36" s="38"/>
      <c r="H36" s="98"/>
      <c r="I36" s="99"/>
      <c r="J36" s="37"/>
      <c r="K36" s="38"/>
    </row>
    <row r="37" spans="1:11">
      <c r="A37" s="34">
        <v>45261</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85" priority="5" operator="equal">
      <formula>"no"</formula>
    </cfRule>
    <cfRule type="cellIs" dxfId="184" priority="6" operator="equal">
      <formula>"yes"</formula>
    </cfRule>
  </conditionalFormatting>
  <conditionalFormatting sqref="C26:C37">
    <cfRule type="cellIs" dxfId="183" priority="3" operator="equal">
      <formula>"no"</formula>
    </cfRule>
    <cfRule type="cellIs" dxfId="182" priority="4" operator="equal">
      <formula>"yes"</formula>
    </cfRule>
  </conditionalFormatting>
  <conditionalFormatting sqref="K26:K37">
    <cfRule type="cellIs" dxfId="181" priority="1" operator="equal">
      <formula>"open"</formula>
    </cfRule>
    <cfRule type="cellIs" dxfId="180" priority="2" operator="equal">
      <formula>"closed"</formula>
    </cfRule>
  </conditionalFormatting>
  <dataValidations count="2">
    <dataValidation type="list" allowBlank="1" showInputMessage="1" showErrorMessage="1" sqref="K26:K37" xr:uid="{0AE3C9B0-D39C-4CB4-A694-87C6D5D85B26}">
      <formula1>"OPEN,CLOSED,N/A"</formula1>
    </dataValidation>
    <dataValidation type="list" allowBlank="1" showInputMessage="1" showErrorMessage="1" sqref="I2" xr:uid="{A4D99ABB-65FF-4265-8DB7-EC6B1569F7DC}">
      <formula1>"1,2,3,4,5,6,7,8,9,10,11,12,13,14,15,16,17,18,19,20,21,22,23,24"</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52CB-3A75-40E9-8BDC-78EB4A1DFCF9}">
  <dimension ref="A1:K37"/>
  <sheetViews>
    <sheetView topLeftCell="A7"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21</v>
      </c>
      <c r="B1" s="101"/>
      <c r="C1" s="101"/>
      <c r="D1" s="101"/>
      <c r="E1" s="101"/>
      <c r="F1" s="102"/>
      <c r="G1" s="17" t="s">
        <v>60</v>
      </c>
      <c r="H1" s="17">
        <f>'Ogólny '!R4</f>
        <v>2024</v>
      </c>
      <c r="I1" s="18"/>
      <c r="J1" s="19"/>
      <c r="K1" s="20"/>
    </row>
    <row r="2" spans="1:11" ht="14.75" customHeight="1">
      <c r="A2" s="103"/>
      <c r="B2" s="104"/>
      <c r="C2" s="104"/>
      <c r="D2" s="104"/>
      <c r="E2" s="104"/>
      <c r="F2" s="105"/>
      <c r="G2" s="21"/>
      <c r="H2" s="22"/>
      <c r="I2" s="23">
        <v>1</v>
      </c>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79" priority="5" operator="equal">
      <formula>"no"</formula>
    </cfRule>
    <cfRule type="cellIs" dxfId="178" priority="6" operator="equal">
      <formula>"yes"</formula>
    </cfRule>
  </conditionalFormatting>
  <conditionalFormatting sqref="C26:C37">
    <cfRule type="cellIs" dxfId="177" priority="3" operator="equal">
      <formula>"no"</formula>
    </cfRule>
    <cfRule type="cellIs" dxfId="176" priority="4" operator="equal">
      <formula>"yes"</formula>
    </cfRule>
  </conditionalFormatting>
  <conditionalFormatting sqref="K26:K37">
    <cfRule type="cellIs" dxfId="175" priority="1" operator="equal">
      <formula>"open"</formula>
    </cfRule>
    <cfRule type="cellIs" dxfId="174" priority="2" operator="equal">
      <formula>"closed"</formula>
    </cfRule>
  </conditionalFormatting>
  <dataValidations count="2">
    <dataValidation type="list" allowBlank="1" showInputMessage="1" showErrorMessage="1" sqref="K26:K37" xr:uid="{AA93D83D-0E77-4354-9AA9-D51B6DCE81F3}">
      <formula1>"OPEN,CLOSED,N/A"</formula1>
    </dataValidation>
    <dataValidation type="list" allowBlank="1" showInputMessage="1" showErrorMessage="1" sqref="I2" xr:uid="{EEB9A297-07F4-43C3-9AF0-AD78FA3EF9EA}">
      <formula1>"1,2,3,4,5,6,7,8,9,10,11,12,13,14,15,16,17,18,19,20,21,22,23,24"</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3611-5F3D-48EA-A63A-43820682C0D1}">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70</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73" priority="5" operator="equal">
      <formula>"no"</formula>
    </cfRule>
    <cfRule type="cellIs" dxfId="172" priority="6" operator="equal">
      <formula>"yes"</formula>
    </cfRule>
  </conditionalFormatting>
  <conditionalFormatting sqref="C26:C37">
    <cfRule type="cellIs" dxfId="171" priority="3" operator="equal">
      <formula>"no"</formula>
    </cfRule>
    <cfRule type="cellIs" dxfId="170" priority="4" operator="equal">
      <formula>"yes"</formula>
    </cfRule>
  </conditionalFormatting>
  <conditionalFormatting sqref="K26:K37">
    <cfRule type="cellIs" dxfId="169" priority="1" operator="equal">
      <formula>"open"</formula>
    </cfRule>
    <cfRule type="cellIs" dxfId="168" priority="2" operator="equal">
      <formula>"closed"</formula>
    </cfRule>
  </conditionalFormatting>
  <dataValidations count="2">
    <dataValidation type="list" allowBlank="1" showInputMessage="1" showErrorMessage="1" sqref="I2" xr:uid="{D1E6C2F1-F6DC-4073-87D5-30E418B73F0E}">
      <formula1>"1,2,3,4,5,6,7,8,9,10,11,12,13,14,15,16,17,18,19,20,21,22,23,24"</formula1>
    </dataValidation>
    <dataValidation type="list" allowBlank="1" showInputMessage="1" showErrorMessage="1" sqref="K26:K37" xr:uid="{39BBCBC5-B4AB-4433-8ED3-1D9095E8E04A}">
      <formula1>"OPEN,CLOSED,N/A"</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A5F59-B7BC-4CDF-ACDA-EF4138DE7BAC}">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22</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67" priority="5" operator="equal">
      <formula>"no"</formula>
    </cfRule>
    <cfRule type="cellIs" dxfId="166" priority="6" operator="equal">
      <formula>"yes"</formula>
    </cfRule>
  </conditionalFormatting>
  <conditionalFormatting sqref="C26:C37">
    <cfRule type="cellIs" dxfId="165" priority="3" operator="equal">
      <formula>"no"</formula>
    </cfRule>
    <cfRule type="cellIs" dxfId="164" priority="4" operator="equal">
      <formula>"yes"</formula>
    </cfRule>
  </conditionalFormatting>
  <conditionalFormatting sqref="K26:K37">
    <cfRule type="cellIs" dxfId="163" priority="1" operator="equal">
      <formula>"open"</formula>
    </cfRule>
    <cfRule type="cellIs" dxfId="162" priority="2" operator="equal">
      <formula>"closed"</formula>
    </cfRule>
  </conditionalFormatting>
  <dataValidations count="2">
    <dataValidation type="list" allowBlank="1" showInputMessage="1" showErrorMessage="1" sqref="I2" xr:uid="{3B683E99-4D9D-4784-8F58-454E9F54312B}">
      <formula1>"1,2,3,4,5,6,7,8,9,10,11,12,13,14,15,16,17,18,19,20,21,22,23,24"</formula1>
    </dataValidation>
    <dataValidation type="list" allowBlank="1" showInputMessage="1" showErrorMessage="1" sqref="K26:K37" xr:uid="{673D38B7-F900-4B39-A399-C0C9D8871053}">
      <formula1>"OPEN,CLOSED,N/A"</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83743-36D2-4973-BC5C-86891344A73B}">
  <dimension ref="A1:K37"/>
  <sheetViews>
    <sheetView zoomScale="70" zoomScaleNormal="70"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71</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61" priority="5" operator="equal">
      <formula>"no"</formula>
    </cfRule>
    <cfRule type="cellIs" dxfId="160" priority="6" operator="equal">
      <formula>"yes"</formula>
    </cfRule>
  </conditionalFormatting>
  <conditionalFormatting sqref="C26:C37">
    <cfRule type="cellIs" dxfId="159" priority="3" operator="equal">
      <formula>"no"</formula>
    </cfRule>
    <cfRule type="cellIs" dxfId="158" priority="4" operator="equal">
      <formula>"yes"</formula>
    </cfRule>
  </conditionalFormatting>
  <conditionalFormatting sqref="K26:K37">
    <cfRule type="cellIs" dxfId="157" priority="1" operator="equal">
      <formula>"open"</formula>
    </cfRule>
    <cfRule type="cellIs" dxfId="156" priority="2" operator="equal">
      <formula>"closed"</formula>
    </cfRule>
  </conditionalFormatting>
  <dataValidations count="2">
    <dataValidation type="list" allowBlank="1" showInputMessage="1" showErrorMessage="1" sqref="I2" xr:uid="{553EF088-89D4-44C0-A287-D816F606ABDB}">
      <formula1>"1,2,3,4,5,6,7,8,9,10,11,12,13,14,15,16,17,18,19,20,21,22,23,24"</formula1>
    </dataValidation>
    <dataValidation type="list" allowBlank="1" showInputMessage="1" showErrorMessage="1" sqref="K26:K37" xr:uid="{37DDF391-D0B5-4AA4-B26E-786CCFB29BFE}">
      <formula1>"OPEN,CLOSED,N/A"</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7F9D-AD6E-4A6A-BA5B-611C6ACDEC0A}">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72</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55" priority="5" operator="equal">
      <formula>"no"</formula>
    </cfRule>
    <cfRule type="cellIs" dxfId="154" priority="6" operator="equal">
      <formula>"yes"</formula>
    </cfRule>
  </conditionalFormatting>
  <conditionalFormatting sqref="C26:C37">
    <cfRule type="cellIs" dxfId="153" priority="3" operator="equal">
      <formula>"no"</formula>
    </cfRule>
    <cfRule type="cellIs" dxfId="152" priority="4" operator="equal">
      <formula>"yes"</formula>
    </cfRule>
  </conditionalFormatting>
  <conditionalFormatting sqref="K26:K37">
    <cfRule type="cellIs" dxfId="151" priority="1" operator="equal">
      <formula>"open"</formula>
    </cfRule>
    <cfRule type="cellIs" dxfId="150" priority="2" operator="equal">
      <formula>"closed"</formula>
    </cfRule>
  </conditionalFormatting>
  <dataValidations count="2">
    <dataValidation type="list" allowBlank="1" showInputMessage="1" showErrorMessage="1" sqref="I2" xr:uid="{A887A477-1B3E-43F4-97D1-E4C543C013D0}">
      <formula1>"1,2,3,4,5,6,7,8,9,10,11,12,13,14,15,16,17,18,19,20,21,22,23,24"</formula1>
    </dataValidation>
    <dataValidation type="list" allowBlank="1" showInputMessage="1" showErrorMessage="1" sqref="K26:K37" xr:uid="{E0CB7D7E-08F1-4BF2-8884-775A17B41984}">
      <formula1>"OPEN,CLOSED,N/A"</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96C3-BDDB-4974-BA39-C12C111B6429}">
  <dimension ref="A1:K37"/>
  <sheetViews>
    <sheetView topLeftCell="A2"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54</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49" priority="5" operator="equal">
      <formula>"no"</formula>
    </cfRule>
    <cfRule type="cellIs" dxfId="148" priority="6" operator="equal">
      <formula>"yes"</formula>
    </cfRule>
  </conditionalFormatting>
  <conditionalFormatting sqref="C26:C37">
    <cfRule type="cellIs" dxfId="147" priority="3" operator="equal">
      <formula>"no"</formula>
    </cfRule>
    <cfRule type="cellIs" dxfId="146" priority="4" operator="equal">
      <formula>"yes"</formula>
    </cfRule>
  </conditionalFormatting>
  <conditionalFormatting sqref="K26:K37">
    <cfRule type="cellIs" dxfId="145" priority="1" operator="equal">
      <formula>"open"</formula>
    </cfRule>
    <cfRule type="cellIs" dxfId="144" priority="2" operator="equal">
      <formula>"closed"</formula>
    </cfRule>
  </conditionalFormatting>
  <dataValidations count="2">
    <dataValidation type="list" allowBlank="1" showInputMessage="1" showErrorMessage="1" sqref="I2" xr:uid="{6BA2BB69-D59D-4F5C-AF93-547869028E6F}">
      <formula1>"1,2,3,4,5,6,7,8,9,10,11,12,13,14,15,16,17,18,19,20,21,22,23,24"</formula1>
    </dataValidation>
    <dataValidation type="list" allowBlank="1" showInputMessage="1" showErrorMessage="1" sqref="K26:K37" xr:uid="{DD68A5D9-9E44-4B54-859B-DEFCF9715662}">
      <formula1>"OPEN,CLOSED,N/A"</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1A8C8-B404-4683-8128-C7331D6C9B7C}">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55</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43" priority="5" operator="equal">
      <formula>"no"</formula>
    </cfRule>
    <cfRule type="cellIs" dxfId="142" priority="6" operator="equal">
      <formula>"yes"</formula>
    </cfRule>
  </conditionalFormatting>
  <conditionalFormatting sqref="C26:C37">
    <cfRule type="cellIs" dxfId="141" priority="3" operator="equal">
      <formula>"no"</formula>
    </cfRule>
    <cfRule type="cellIs" dxfId="140" priority="4" operator="equal">
      <formula>"yes"</formula>
    </cfRule>
  </conditionalFormatting>
  <conditionalFormatting sqref="K26:K37">
    <cfRule type="cellIs" dxfId="139" priority="1" operator="equal">
      <formula>"open"</formula>
    </cfRule>
    <cfRule type="cellIs" dxfId="138" priority="2" operator="equal">
      <formula>"closed"</formula>
    </cfRule>
  </conditionalFormatting>
  <dataValidations count="2">
    <dataValidation type="list" allowBlank="1" showInputMessage="1" showErrorMessage="1" sqref="I2" xr:uid="{41B1A600-128E-425F-A276-E3BC290DE2AB}">
      <formula1>"1,2,3,4,5,6,7,8,9,10,11,12,13,14,15,16,17,18,19,20,21,22,23,24"</formula1>
    </dataValidation>
    <dataValidation type="list" allowBlank="1" showInputMessage="1" showErrorMessage="1" sqref="K26:K37" xr:uid="{41319675-6AF1-4BF5-B157-BD0E965FD4C1}">
      <formula1>"OPEN,CLOSED,N/A"</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64F04-EB49-4544-9B66-A5EB3117F663}">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73</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37" priority="5" operator="equal">
      <formula>"no"</formula>
    </cfRule>
    <cfRule type="cellIs" dxfId="136" priority="6" operator="equal">
      <formula>"yes"</formula>
    </cfRule>
  </conditionalFormatting>
  <conditionalFormatting sqref="C26:C37">
    <cfRule type="cellIs" dxfId="135" priority="3" operator="equal">
      <formula>"no"</formula>
    </cfRule>
    <cfRule type="cellIs" dxfId="134" priority="4" operator="equal">
      <formula>"yes"</formula>
    </cfRule>
  </conditionalFormatting>
  <conditionalFormatting sqref="K26:K37">
    <cfRule type="cellIs" dxfId="133" priority="1" operator="equal">
      <formula>"open"</formula>
    </cfRule>
    <cfRule type="cellIs" dxfId="132" priority="2" operator="equal">
      <formula>"closed"</formula>
    </cfRule>
  </conditionalFormatting>
  <dataValidations count="2">
    <dataValidation type="list" allowBlank="1" showInputMessage="1" showErrorMessage="1" sqref="I2" xr:uid="{78A0A834-F6EB-4451-B21E-998CC412EB8F}">
      <formula1>"1,2,3,4,5,6,7,8,9,10,11,12,13,14,15,16,17,18,19,20,21,22,23,24"</formula1>
    </dataValidation>
    <dataValidation type="list" allowBlank="1" showInputMessage="1" showErrorMessage="1" sqref="K26:K37" xr:uid="{A615413E-1606-4361-8DA1-69393D5AD944}">
      <formula1>"OPEN,CLOSED,N/A"</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6C08-2A73-4290-9A6B-C74396E0909B}">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74</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31" priority="5" operator="equal">
      <formula>"no"</formula>
    </cfRule>
    <cfRule type="cellIs" dxfId="130" priority="6" operator="equal">
      <formula>"yes"</formula>
    </cfRule>
  </conditionalFormatting>
  <conditionalFormatting sqref="C26:C37">
    <cfRule type="cellIs" dxfId="129" priority="3" operator="equal">
      <formula>"no"</formula>
    </cfRule>
    <cfRule type="cellIs" dxfId="128" priority="4" operator="equal">
      <formula>"yes"</formula>
    </cfRule>
  </conditionalFormatting>
  <conditionalFormatting sqref="K26:K37">
    <cfRule type="cellIs" dxfId="127" priority="1" operator="equal">
      <formula>"open"</formula>
    </cfRule>
    <cfRule type="cellIs" dxfId="126" priority="2" operator="equal">
      <formula>"closed"</formula>
    </cfRule>
  </conditionalFormatting>
  <dataValidations count="2">
    <dataValidation type="list" allowBlank="1" showInputMessage="1" showErrorMessage="1" sqref="I2" xr:uid="{417CF7B9-AC52-4C55-9F97-F6D8444C355B}">
      <formula1>"1,2,3,4,5,6,7,8,9,10,11,12,13,14,15,16,17,18,19,20,21,22,23,24"</formula1>
    </dataValidation>
    <dataValidation type="list" allowBlank="1" showInputMessage="1" showErrorMessage="1" sqref="K26:K37" xr:uid="{FA093EB8-8EF7-4817-A99F-54482904F481}">
      <formula1>"OPEN,CLOSED,N/A"</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6D744-B7A6-4DD7-9E76-AAC68B877186}">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75</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25" priority="5" operator="equal">
      <formula>"no"</formula>
    </cfRule>
    <cfRule type="cellIs" dxfId="124" priority="6" operator="equal">
      <formula>"yes"</formula>
    </cfRule>
  </conditionalFormatting>
  <conditionalFormatting sqref="C26:C37">
    <cfRule type="cellIs" dxfId="123" priority="3" operator="equal">
      <formula>"no"</formula>
    </cfRule>
    <cfRule type="cellIs" dxfId="122" priority="4" operator="equal">
      <formula>"yes"</formula>
    </cfRule>
  </conditionalFormatting>
  <conditionalFormatting sqref="K26:K37">
    <cfRule type="cellIs" dxfId="121" priority="1" operator="equal">
      <formula>"open"</formula>
    </cfRule>
    <cfRule type="cellIs" dxfId="120" priority="2" operator="equal">
      <formula>"closed"</formula>
    </cfRule>
  </conditionalFormatting>
  <dataValidations count="2">
    <dataValidation type="list" allowBlank="1" showInputMessage="1" showErrorMessage="1" sqref="I2" xr:uid="{4970A7BD-6BF0-470C-8D0A-8063EFCB8384}">
      <formula1>"1,2,3,4,5,6,7,8,9,10,11,12,13,14,15,16,17,18,19,20,21,22,23,24"</formula1>
    </dataValidation>
    <dataValidation type="list" allowBlank="1" showInputMessage="1" showErrorMessage="1" sqref="K26:K37" xr:uid="{DC5077A8-5437-4846-A6A3-DFA52A5A6486}">
      <formula1>"OPEN,CLOSED,N/A"</formula1>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1CB2-B75F-4B5E-84AF-4DD36D6DC2A6}">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76</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19" priority="5" operator="equal">
      <formula>"no"</formula>
    </cfRule>
    <cfRule type="cellIs" dxfId="118" priority="6" operator="equal">
      <formula>"yes"</formula>
    </cfRule>
  </conditionalFormatting>
  <conditionalFormatting sqref="C26:C37">
    <cfRule type="cellIs" dxfId="117" priority="3" operator="equal">
      <formula>"no"</formula>
    </cfRule>
    <cfRule type="cellIs" dxfId="116" priority="4" operator="equal">
      <formula>"yes"</formula>
    </cfRule>
  </conditionalFormatting>
  <conditionalFormatting sqref="K26:K37">
    <cfRule type="cellIs" dxfId="115" priority="1" operator="equal">
      <formula>"open"</formula>
    </cfRule>
    <cfRule type="cellIs" dxfId="114" priority="2" operator="equal">
      <formula>"closed"</formula>
    </cfRule>
  </conditionalFormatting>
  <dataValidations count="2">
    <dataValidation type="list" allowBlank="1" showInputMessage="1" showErrorMessage="1" sqref="I2" xr:uid="{8E4C8285-6B0A-4EA7-BCBA-B0050156B6A7}">
      <formula1>"1,2,3,4,5,6,7,8,9,10,11,12,13,14,15,16,17,18,19,20,21,22,23,24"</formula1>
    </dataValidation>
    <dataValidation type="list" allowBlank="1" showInputMessage="1" showErrorMessage="1" sqref="K26:K37" xr:uid="{18829AFE-1430-46EE-BFAD-CA7681CAB0C8}">
      <formula1>"OPEN,CLOSED,N/A"</formula1>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61249-B625-49D7-8429-3077D11325BE}">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26</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13" priority="5" operator="equal">
      <formula>"no"</formula>
    </cfRule>
    <cfRule type="cellIs" dxfId="112" priority="6" operator="equal">
      <formula>"yes"</formula>
    </cfRule>
  </conditionalFormatting>
  <conditionalFormatting sqref="C26:C37">
    <cfRule type="cellIs" dxfId="111" priority="3" operator="equal">
      <formula>"no"</formula>
    </cfRule>
    <cfRule type="cellIs" dxfId="110" priority="4" operator="equal">
      <formula>"yes"</formula>
    </cfRule>
  </conditionalFormatting>
  <conditionalFormatting sqref="K26:K37">
    <cfRule type="cellIs" dxfId="109" priority="1" operator="equal">
      <formula>"open"</formula>
    </cfRule>
    <cfRule type="cellIs" dxfId="108" priority="2" operator="equal">
      <formula>"closed"</formula>
    </cfRule>
  </conditionalFormatting>
  <dataValidations count="2">
    <dataValidation type="list" allowBlank="1" showInputMessage="1" showErrorMessage="1" sqref="I2" xr:uid="{ABFFCDDE-993C-4EE8-BE2C-6CB27B24CB69}">
      <formula1>"1,2,3,4,5,6,7,8,9,10,11,12,13,14,15,16,17,18,19,20,21,22,23,24"</formula1>
    </dataValidation>
    <dataValidation type="list" allowBlank="1" showInputMessage="1" showErrorMessage="1" sqref="K26:K37" xr:uid="{A084D51B-DB08-4116-AD51-BD07073C69E9}">
      <formula1>"OPEN,CLOSED,N/A"</formula1>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41C19-F322-43B3-93C8-A5D9DA091CE9}">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0</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07" priority="5" operator="equal">
      <formula>"no"</formula>
    </cfRule>
    <cfRule type="cellIs" dxfId="106" priority="6" operator="equal">
      <formula>"yes"</formula>
    </cfRule>
  </conditionalFormatting>
  <conditionalFormatting sqref="C26:C37">
    <cfRule type="cellIs" dxfId="105" priority="3" operator="equal">
      <formula>"no"</formula>
    </cfRule>
    <cfRule type="cellIs" dxfId="104" priority="4" operator="equal">
      <formula>"yes"</formula>
    </cfRule>
  </conditionalFormatting>
  <conditionalFormatting sqref="K26:K37">
    <cfRule type="cellIs" dxfId="103" priority="1" operator="equal">
      <formula>"open"</formula>
    </cfRule>
    <cfRule type="cellIs" dxfId="102" priority="2" operator="equal">
      <formula>"closed"</formula>
    </cfRule>
  </conditionalFormatting>
  <dataValidations count="2">
    <dataValidation type="list" allowBlank="1" showInputMessage="1" showErrorMessage="1" sqref="K26:K37" xr:uid="{F4AB2B62-25CD-49A0-8002-4A3B40DC5B98}">
      <formula1>"OPEN,CLOSED,N/A"</formula1>
    </dataValidation>
    <dataValidation type="list" allowBlank="1" showInputMessage="1" showErrorMessage="1" sqref="I2" xr:uid="{4AACE380-3A0F-45A3-B108-6F464FF22451}">
      <formula1>"1,2,3,4,5,6,7,8,9,10,11,12,13,14,15,16,17,18,19,20,21,22,23,24"</formula1>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82158-AEE7-4B30-B069-BA257946151F}">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77</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01" priority="5" operator="equal">
      <formula>"no"</formula>
    </cfRule>
    <cfRule type="cellIs" dxfId="100" priority="6" operator="equal">
      <formula>"yes"</formula>
    </cfRule>
  </conditionalFormatting>
  <conditionalFormatting sqref="C26:C37">
    <cfRule type="cellIs" dxfId="99" priority="3" operator="equal">
      <formula>"no"</formula>
    </cfRule>
    <cfRule type="cellIs" dxfId="98" priority="4" operator="equal">
      <formula>"yes"</formula>
    </cfRule>
  </conditionalFormatting>
  <conditionalFormatting sqref="K26:K37">
    <cfRule type="cellIs" dxfId="97" priority="1" operator="equal">
      <formula>"open"</formula>
    </cfRule>
    <cfRule type="cellIs" dxfId="96" priority="2" operator="equal">
      <formula>"closed"</formula>
    </cfRule>
  </conditionalFormatting>
  <dataValidations count="2">
    <dataValidation type="list" allowBlank="1" showInputMessage="1" showErrorMessage="1" sqref="I2" xr:uid="{DDFED789-E984-4BC4-B332-A7D1BE0BF029}">
      <formula1>"1,2,3,4,5,6,7,8,9,10,11,12,13,14,15,16,17,18,19,20,21,22,23,24"</formula1>
    </dataValidation>
    <dataValidation type="list" allowBlank="1" showInputMessage="1" showErrorMessage="1" sqref="K26:K37" xr:uid="{671E2C3A-A963-4DB3-A399-4D6F51D9CC35}">
      <formula1>"OPEN,CLOSED,N/A"</formula1>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BA3D1-A91B-490C-89C2-A6D1608E4C91}">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78</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95" priority="5" operator="equal">
      <formula>"no"</formula>
    </cfRule>
    <cfRule type="cellIs" dxfId="94" priority="6" operator="equal">
      <formula>"yes"</formula>
    </cfRule>
  </conditionalFormatting>
  <conditionalFormatting sqref="C26:C37">
    <cfRule type="cellIs" dxfId="93" priority="3" operator="equal">
      <formula>"no"</formula>
    </cfRule>
    <cfRule type="cellIs" dxfId="92" priority="4" operator="equal">
      <formula>"yes"</formula>
    </cfRule>
  </conditionalFormatting>
  <conditionalFormatting sqref="K26:K37">
    <cfRule type="cellIs" dxfId="91" priority="1" operator="equal">
      <formula>"open"</formula>
    </cfRule>
    <cfRule type="cellIs" dxfId="90" priority="2" operator="equal">
      <formula>"closed"</formula>
    </cfRule>
  </conditionalFormatting>
  <dataValidations count="2">
    <dataValidation type="list" allowBlank="1" showInputMessage="1" showErrorMessage="1" sqref="K26:K37" xr:uid="{92341DFB-257E-4A5A-8726-5CC244DB0CA5}">
      <formula1>"OPEN,CLOSED,N/A"</formula1>
    </dataValidation>
    <dataValidation type="list" allowBlank="1" showInputMessage="1" showErrorMessage="1" sqref="I2" xr:uid="{317C2C52-4A52-4C93-AEA9-C54BEF7BC027}">
      <formula1>"1,2,3,4,5,6,7,8,9,10,11,12,13,14,15,16,17,18,19,20,21,22,23,24"</formula1>
    </dataValidation>
  </dataValidation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6FBA6-AD73-463B-AE50-1FE57DCA3A9B}">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79</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89" priority="5" operator="equal">
      <formula>"no"</formula>
    </cfRule>
    <cfRule type="cellIs" dxfId="88" priority="6" operator="equal">
      <formula>"yes"</formula>
    </cfRule>
  </conditionalFormatting>
  <conditionalFormatting sqref="C26:C37">
    <cfRule type="cellIs" dxfId="87" priority="3" operator="equal">
      <formula>"no"</formula>
    </cfRule>
    <cfRule type="cellIs" dxfId="86" priority="4" operator="equal">
      <formula>"yes"</formula>
    </cfRule>
  </conditionalFormatting>
  <conditionalFormatting sqref="K26:K37">
    <cfRule type="cellIs" dxfId="85" priority="1" operator="equal">
      <formula>"open"</formula>
    </cfRule>
    <cfRule type="cellIs" dxfId="84" priority="2" operator="equal">
      <formula>"closed"</formula>
    </cfRule>
  </conditionalFormatting>
  <dataValidations count="2">
    <dataValidation type="list" allowBlank="1" showInputMessage="1" showErrorMessage="1" sqref="K26:K37" xr:uid="{477D4FF7-FCF9-401F-BC5B-56B229E5EB9B}">
      <formula1>"OPEN,CLOSED,N/A"</formula1>
    </dataValidation>
    <dataValidation type="list" allowBlank="1" showInputMessage="1" showErrorMessage="1" sqref="I2" xr:uid="{7D7F307F-591A-4AB2-934B-1B2B0E84EDFC}">
      <formula1>"1,2,3,4,5,6,7,8,9,10,11,12,13,14,15,16,17,18,19,20,21,22,23,24"</formula1>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6DBDD-2FB9-46F1-90FC-00230C0CB889}">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80</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83" priority="5" operator="equal">
      <formula>"no"</formula>
    </cfRule>
    <cfRule type="cellIs" dxfId="82" priority="6" operator="equal">
      <formula>"yes"</formula>
    </cfRule>
  </conditionalFormatting>
  <conditionalFormatting sqref="C26:C37">
    <cfRule type="cellIs" dxfId="81" priority="3" operator="equal">
      <formula>"no"</formula>
    </cfRule>
    <cfRule type="cellIs" dxfId="80" priority="4" operator="equal">
      <formula>"yes"</formula>
    </cfRule>
  </conditionalFormatting>
  <conditionalFormatting sqref="K26:K37">
    <cfRule type="cellIs" dxfId="79" priority="1" operator="equal">
      <formula>"open"</formula>
    </cfRule>
    <cfRule type="cellIs" dxfId="78" priority="2" operator="equal">
      <formula>"closed"</formula>
    </cfRule>
  </conditionalFormatting>
  <dataValidations count="2">
    <dataValidation type="list" allowBlank="1" showInputMessage="1" showErrorMessage="1" sqref="K26:K37" xr:uid="{761559BC-F2ED-4899-8AFA-33A6686378F7}">
      <formula1>"OPEN,CLOSED,N/A"</formula1>
    </dataValidation>
    <dataValidation type="list" allowBlank="1" showInputMessage="1" showErrorMessage="1" sqref="I2" xr:uid="{3D5CCFC4-9236-47D4-8176-5D8D6BE21238}">
      <formula1>"1,2,3,4,5,6,7,8,9,10,11,12,13,14,15,16,17,18,19,20,21,22,23,24"</formula1>
    </dataValidation>
  </dataValidation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D4641-149D-4603-B45E-2C27304F1AC0}">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81</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77" priority="5" operator="equal">
      <formula>"no"</formula>
    </cfRule>
    <cfRule type="cellIs" dxfId="76" priority="6" operator="equal">
      <formula>"yes"</formula>
    </cfRule>
  </conditionalFormatting>
  <conditionalFormatting sqref="C26:C37">
    <cfRule type="cellIs" dxfId="75" priority="3" operator="equal">
      <formula>"no"</formula>
    </cfRule>
    <cfRule type="cellIs" dxfId="74" priority="4" operator="equal">
      <formula>"yes"</formula>
    </cfRule>
  </conditionalFormatting>
  <conditionalFormatting sqref="K26:K37">
    <cfRule type="cellIs" dxfId="73" priority="1" operator="equal">
      <formula>"open"</formula>
    </cfRule>
    <cfRule type="cellIs" dxfId="72" priority="2" operator="equal">
      <formula>"closed"</formula>
    </cfRule>
  </conditionalFormatting>
  <dataValidations count="2">
    <dataValidation type="list" allowBlank="1" showInputMessage="1" showErrorMessage="1" sqref="K26:K37" xr:uid="{DC7CE3CB-22BD-4433-A633-2976F1D8653F}">
      <formula1>"OPEN,CLOSED,N/A"</formula1>
    </dataValidation>
    <dataValidation type="list" allowBlank="1" showInputMessage="1" showErrorMessage="1" sqref="I2" xr:uid="{B0DCBC82-56FF-462B-A48E-E2C9D27CB25B}">
      <formula1>"1,2,3,4,5,6,7,8,9,10,11,12,13,14,15,16,17,18,19,20,21,22,23,24"</formula1>
    </dataValidation>
  </dataValidation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4AE0-3424-4C49-B389-925508AA1216}">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82</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71" priority="5" operator="equal">
      <formula>"no"</formula>
    </cfRule>
    <cfRule type="cellIs" dxfId="70" priority="6" operator="equal">
      <formula>"yes"</formula>
    </cfRule>
  </conditionalFormatting>
  <conditionalFormatting sqref="C26:C37">
    <cfRule type="cellIs" dxfId="69" priority="3" operator="equal">
      <formula>"no"</formula>
    </cfRule>
    <cfRule type="cellIs" dxfId="68" priority="4" operator="equal">
      <formula>"yes"</formula>
    </cfRule>
  </conditionalFormatting>
  <conditionalFormatting sqref="K26:K37">
    <cfRule type="cellIs" dxfId="67" priority="1" operator="equal">
      <formula>"open"</formula>
    </cfRule>
    <cfRule type="cellIs" dxfId="66" priority="2" operator="equal">
      <formula>"closed"</formula>
    </cfRule>
  </conditionalFormatting>
  <dataValidations count="2">
    <dataValidation type="list" allowBlank="1" showInputMessage="1" showErrorMessage="1" sqref="K26:K37" xr:uid="{C17D2B65-94D9-4041-93BB-ED77396D3D85}">
      <formula1>"OPEN,CLOSED,N/A"</formula1>
    </dataValidation>
    <dataValidation type="list" allowBlank="1" showInputMessage="1" showErrorMessage="1" sqref="I2" xr:uid="{6B775B09-4682-469A-A309-360911E5A385}">
      <formula1>"1,2,3,4,5,6,7,8,9,10,11,12,13,14,15,16,17,18,19,20,21,22,23,24"</formula1>
    </dataValidation>
  </dataValidation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5753-9622-4FCF-AE52-15ADA7FC04D0}">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83</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65" priority="5" operator="equal">
      <formula>"no"</formula>
    </cfRule>
    <cfRule type="cellIs" dxfId="64" priority="6" operator="equal">
      <formula>"yes"</formula>
    </cfRule>
  </conditionalFormatting>
  <conditionalFormatting sqref="C26:C37">
    <cfRule type="cellIs" dxfId="63" priority="3" operator="equal">
      <formula>"no"</formula>
    </cfRule>
    <cfRule type="cellIs" dxfId="62" priority="4" operator="equal">
      <formula>"yes"</formula>
    </cfRule>
  </conditionalFormatting>
  <conditionalFormatting sqref="K26:K37">
    <cfRule type="cellIs" dxfId="61" priority="1" operator="equal">
      <formula>"open"</formula>
    </cfRule>
    <cfRule type="cellIs" dxfId="60" priority="2" operator="equal">
      <formula>"closed"</formula>
    </cfRule>
  </conditionalFormatting>
  <dataValidations count="2">
    <dataValidation type="list" allowBlank="1" showInputMessage="1" showErrorMessage="1" sqref="I2" xr:uid="{A5C22BBD-6D47-4A58-9D6C-A6C346CA9251}">
      <formula1>"1,2,3,4,5,6,7,8,9,10,11,12,13,14,15,16,17,18,19,20,21,22,23,24"</formula1>
    </dataValidation>
    <dataValidation type="list" allowBlank="1" showInputMessage="1" showErrorMessage="1" sqref="K26:K37" xr:uid="{4EF49CF7-80EF-4C15-AC75-21C300F8DCCC}">
      <formula1>"OPEN,CLOSED,N/A"</formula1>
    </dataValidation>
  </dataValidation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9B28E-78A7-42DB-9EBC-8BD7D6D91A35}">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84</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59" priority="5" operator="equal">
      <formula>"no"</formula>
    </cfRule>
    <cfRule type="cellIs" dxfId="58" priority="6" operator="equal">
      <formula>"yes"</formula>
    </cfRule>
  </conditionalFormatting>
  <conditionalFormatting sqref="C26:C37">
    <cfRule type="cellIs" dxfId="57" priority="3" operator="equal">
      <formula>"no"</formula>
    </cfRule>
    <cfRule type="cellIs" dxfId="56" priority="4" operator="equal">
      <formula>"yes"</formula>
    </cfRule>
  </conditionalFormatting>
  <conditionalFormatting sqref="K26:K37">
    <cfRule type="cellIs" dxfId="55" priority="1" operator="equal">
      <formula>"open"</formula>
    </cfRule>
    <cfRule type="cellIs" dxfId="54" priority="2" operator="equal">
      <formula>"closed"</formula>
    </cfRule>
  </conditionalFormatting>
  <dataValidations count="2">
    <dataValidation type="list" allowBlank="1" showInputMessage="1" showErrorMessage="1" sqref="K26:K37" xr:uid="{0338CB14-D9ED-4ECB-B28E-CD286606E2A2}">
      <formula1>"OPEN,CLOSED,N/A"</formula1>
    </dataValidation>
    <dataValidation type="list" allowBlank="1" showInputMessage="1" showErrorMessage="1" sqref="I2" xr:uid="{95448F36-FB1B-46FF-A4AB-89BF89752EAB}">
      <formula1>"1,2,3,4,5,6,7,8,9,10,11,12,13,14,15,16,17,18,19,20,21,22,23,24"</formula1>
    </dataValidation>
  </dataValidation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F0F5-C78A-4EA5-B87B-4C9A6FA5FE72}">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85</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53" priority="5" operator="equal">
      <formula>"no"</formula>
    </cfRule>
    <cfRule type="cellIs" dxfId="52" priority="6" operator="equal">
      <formula>"yes"</formula>
    </cfRule>
  </conditionalFormatting>
  <conditionalFormatting sqref="C26:C37">
    <cfRule type="cellIs" dxfId="51" priority="3" operator="equal">
      <formula>"no"</formula>
    </cfRule>
    <cfRule type="cellIs" dxfId="50" priority="4" operator="equal">
      <formula>"yes"</formula>
    </cfRule>
  </conditionalFormatting>
  <conditionalFormatting sqref="K26:K37">
    <cfRule type="cellIs" dxfId="49" priority="1" operator="equal">
      <formula>"open"</formula>
    </cfRule>
    <cfRule type="cellIs" dxfId="48" priority="2" operator="equal">
      <formula>"closed"</formula>
    </cfRule>
  </conditionalFormatting>
  <dataValidations count="2">
    <dataValidation type="list" allowBlank="1" showInputMessage="1" showErrorMessage="1" sqref="K26:K37" xr:uid="{1F8CCE21-B50A-4DDB-B238-434734948976}">
      <formula1>"OPEN,CLOSED,N/A"</formula1>
    </dataValidation>
    <dataValidation type="list" allowBlank="1" showInputMessage="1" showErrorMessage="1" sqref="I2" xr:uid="{E8AE1359-5A8D-4E89-B987-F6BE621E00ED}">
      <formula1>"1,2,3,4,5,6,7,8,9,10,11,12,13,14,15,16,17,18,19,20,21,22,23,24"</formula1>
    </dataValidation>
  </dataValidation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E42A-0EEC-402B-A4D2-B6D05C42C248}">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86</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47" priority="5" operator="equal">
      <formula>"no"</formula>
    </cfRule>
    <cfRule type="cellIs" dxfId="46" priority="6" operator="equal">
      <formula>"yes"</formula>
    </cfRule>
  </conditionalFormatting>
  <conditionalFormatting sqref="C26:C37">
    <cfRule type="cellIs" dxfId="45" priority="3" operator="equal">
      <formula>"no"</formula>
    </cfRule>
    <cfRule type="cellIs" dxfId="44" priority="4" operator="equal">
      <formula>"yes"</formula>
    </cfRule>
  </conditionalFormatting>
  <conditionalFormatting sqref="K26:K37">
    <cfRule type="cellIs" dxfId="43" priority="1" operator="equal">
      <formula>"open"</formula>
    </cfRule>
    <cfRule type="cellIs" dxfId="42" priority="2" operator="equal">
      <formula>"closed"</formula>
    </cfRule>
  </conditionalFormatting>
  <dataValidations count="2">
    <dataValidation type="list" allowBlank="1" showInputMessage="1" showErrorMessage="1" sqref="K26:K37" xr:uid="{92A311F3-8553-4DBE-9A1C-B5530901BA5A}">
      <formula1>"OPEN,CLOSED,N/A"</formula1>
    </dataValidation>
    <dataValidation type="list" allowBlank="1" showInputMessage="1" showErrorMessage="1" sqref="I2" xr:uid="{3B23045D-9C00-4CCE-90EA-A495BF43529D}">
      <formula1>"1,2,3,4,5,6,7,8,9,10,11,12,13,14,15,16,17,18,19,20,21,22,23,24"</formula1>
    </dataValidation>
  </dataValidations>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24C8-CAE8-4757-9199-568977E97053}">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87</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41" priority="5" operator="equal">
      <formula>"no"</formula>
    </cfRule>
    <cfRule type="cellIs" dxfId="40" priority="6" operator="equal">
      <formula>"yes"</formula>
    </cfRule>
  </conditionalFormatting>
  <conditionalFormatting sqref="C26:C37">
    <cfRule type="cellIs" dxfId="39" priority="3" operator="equal">
      <formula>"no"</formula>
    </cfRule>
    <cfRule type="cellIs" dxfId="38" priority="4" operator="equal">
      <formula>"yes"</formula>
    </cfRule>
  </conditionalFormatting>
  <conditionalFormatting sqref="K26:K37">
    <cfRule type="cellIs" dxfId="37" priority="1" operator="equal">
      <formula>"open"</formula>
    </cfRule>
    <cfRule type="cellIs" dxfId="36" priority="2" operator="equal">
      <formula>"closed"</formula>
    </cfRule>
  </conditionalFormatting>
  <dataValidations count="2">
    <dataValidation type="list" allowBlank="1" showInputMessage="1" showErrorMessage="1" sqref="K26:K37" xr:uid="{94A4898E-EE76-47E8-9775-C32EC1FCF519}">
      <formula1>"OPEN,CLOSED,N/A"</formula1>
    </dataValidation>
    <dataValidation type="list" allowBlank="1" showInputMessage="1" showErrorMessage="1" sqref="I2" xr:uid="{41C010B4-22BF-42F8-870E-6EB66CB3523E}">
      <formula1>"1,2,3,4,5,6,7,8,9,10,11,12,13,14,15,16,17,18,19,20,21,22,23,24"</formula1>
    </dataValidation>
  </dataValidations>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ED2E-02ED-4E0B-9200-B3B90A83B6BE}">
  <dimension ref="A1:K37"/>
  <sheetViews>
    <sheetView topLeftCell="A4"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57</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35" priority="5" operator="equal">
      <formula>"no"</formula>
    </cfRule>
    <cfRule type="cellIs" dxfId="34" priority="6" operator="equal">
      <formula>"yes"</formula>
    </cfRule>
  </conditionalFormatting>
  <conditionalFormatting sqref="C26:C37">
    <cfRule type="cellIs" dxfId="33" priority="3" operator="equal">
      <formula>"no"</formula>
    </cfRule>
    <cfRule type="cellIs" dxfId="32" priority="4" operator="equal">
      <formula>"yes"</formula>
    </cfRule>
  </conditionalFormatting>
  <conditionalFormatting sqref="K26:K37">
    <cfRule type="cellIs" dxfId="31" priority="1" operator="equal">
      <formula>"open"</formula>
    </cfRule>
    <cfRule type="cellIs" dxfId="30" priority="2" operator="equal">
      <formula>"closed"</formula>
    </cfRule>
  </conditionalFormatting>
  <dataValidations count="2">
    <dataValidation type="list" allowBlank="1" showInputMessage="1" showErrorMessage="1" sqref="K26:K37" xr:uid="{D9709891-A738-4CAB-8910-D9C4A07A3334}">
      <formula1>"OPEN,CLOSED,N/A"</formula1>
    </dataValidation>
    <dataValidation type="list" allowBlank="1" showInputMessage="1" showErrorMessage="1" sqref="I2" xr:uid="{092F7D9C-B97E-474C-B23E-DBE6B2B0A468}">
      <formula1>"1,2,3,4,5,6,7,8,9,10,11,12,13,14,15,16,17,18,19,20,21,22,23,24"</formula1>
    </dataValidation>
  </dataValidations>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ED80-BC49-42CE-BA99-92A4FA717F34}">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56</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29" priority="5" operator="equal">
      <formula>"no"</formula>
    </cfRule>
    <cfRule type="cellIs" dxfId="28" priority="6" operator="equal">
      <formula>"yes"</formula>
    </cfRule>
  </conditionalFormatting>
  <conditionalFormatting sqref="C26:C37">
    <cfRule type="cellIs" dxfId="27" priority="3" operator="equal">
      <formula>"no"</formula>
    </cfRule>
    <cfRule type="cellIs" dxfId="26" priority="4" operator="equal">
      <formula>"yes"</formula>
    </cfRule>
  </conditionalFormatting>
  <conditionalFormatting sqref="K26:K37">
    <cfRule type="cellIs" dxfId="25" priority="1" operator="equal">
      <formula>"open"</formula>
    </cfRule>
    <cfRule type="cellIs" dxfId="24" priority="2" operator="equal">
      <formula>"closed"</formula>
    </cfRule>
  </conditionalFormatting>
  <dataValidations count="2">
    <dataValidation type="list" allowBlank="1" showInputMessage="1" showErrorMessage="1" sqref="K26:K37" xr:uid="{44A48D5C-8134-40F4-921F-21E4384D9829}">
      <formula1>"OPEN,CLOSED,N/A"</formula1>
    </dataValidation>
    <dataValidation type="list" allowBlank="1" showInputMessage="1" showErrorMessage="1" sqref="I2" xr:uid="{DBB21B36-8A7B-4797-9179-E1705BBD80AB}">
      <formula1>"1,2,3,4,5,6,7,8,9,10,11,12,13,14,15,16,17,18,19,20,21,22,23,24"</formula1>
    </dataValidation>
  </dataValidations>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A934-9864-4488-BD99-7FD710BD8A7B}">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88</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23" priority="5" operator="equal">
      <formula>"no"</formula>
    </cfRule>
    <cfRule type="cellIs" dxfId="22" priority="6" operator="equal">
      <formula>"yes"</formula>
    </cfRule>
  </conditionalFormatting>
  <conditionalFormatting sqref="C26:C37">
    <cfRule type="cellIs" dxfId="21" priority="3" operator="equal">
      <formula>"no"</formula>
    </cfRule>
    <cfRule type="cellIs" dxfId="20" priority="4" operator="equal">
      <formula>"yes"</formula>
    </cfRule>
  </conditionalFormatting>
  <conditionalFormatting sqref="K26:K37">
    <cfRule type="cellIs" dxfId="19" priority="1" operator="equal">
      <formula>"open"</formula>
    </cfRule>
    <cfRule type="cellIs" dxfId="18" priority="2" operator="equal">
      <formula>"closed"</formula>
    </cfRule>
  </conditionalFormatting>
  <dataValidations count="2">
    <dataValidation type="list" allowBlank="1" showInputMessage="1" showErrorMessage="1" sqref="K26:K37" xr:uid="{6E259E5F-418F-4E9C-B84A-98CB72721B87}">
      <formula1>"OPEN,CLOSED,N/A"</formula1>
    </dataValidation>
    <dataValidation type="list" allowBlank="1" showInputMessage="1" showErrorMessage="1" sqref="I2" xr:uid="{20E598D2-B951-4BA9-B734-DFE813F2417C}">
      <formula1>"1,2,3,4,5,6,7,8,9,10,11,12,13,14,15,16,17,18,19,20,21,22,23,24"</formula1>
    </dataValidation>
  </dataValidations>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B4CA-FEC1-43EE-9309-76D86697F279}">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89</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7" priority="5" operator="equal">
      <formula>"no"</formula>
    </cfRule>
    <cfRule type="cellIs" dxfId="16" priority="6" operator="equal">
      <formula>"yes"</formula>
    </cfRule>
  </conditionalFormatting>
  <conditionalFormatting sqref="C26:C37">
    <cfRule type="cellIs" dxfId="15" priority="3" operator="equal">
      <formula>"no"</formula>
    </cfRule>
    <cfRule type="cellIs" dxfId="14" priority="4" operator="equal">
      <formula>"yes"</formula>
    </cfRule>
  </conditionalFormatting>
  <conditionalFormatting sqref="K26:K37">
    <cfRule type="cellIs" dxfId="13" priority="1" operator="equal">
      <formula>"open"</formula>
    </cfRule>
    <cfRule type="cellIs" dxfId="12" priority="2" operator="equal">
      <formula>"closed"</formula>
    </cfRule>
  </conditionalFormatting>
  <dataValidations count="2">
    <dataValidation type="list" allowBlank="1" showInputMessage="1" showErrorMessage="1" sqref="K26:K37" xr:uid="{42CEF1B5-513F-499A-BBC0-434A95473642}">
      <formula1>"OPEN,CLOSED,N/A"</formula1>
    </dataValidation>
    <dataValidation type="list" allowBlank="1" showInputMessage="1" showErrorMessage="1" sqref="I2" xr:uid="{A3B89148-6627-49C7-AADB-6C7F7C0FFFAC}">
      <formula1>"1,2,3,4,5,6,7,8,9,10,11,12,13,14,15,16,17,18,19,20,21,22,23,24"</formula1>
    </dataValidation>
  </dataValidations>
  <pageMargins left="0.7" right="0.7" top="0.75" bottom="0.75" header="0.3" footer="0.3"/>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50C2B-93A2-49BB-9849-C8FD2326B2BC}">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52</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11" priority="5" operator="equal">
      <formula>"no"</formula>
    </cfRule>
    <cfRule type="cellIs" dxfId="10" priority="6" operator="equal">
      <formula>"yes"</formula>
    </cfRule>
  </conditionalFormatting>
  <conditionalFormatting sqref="C26:C37">
    <cfRule type="cellIs" dxfId="9" priority="3" operator="equal">
      <formula>"no"</formula>
    </cfRule>
    <cfRule type="cellIs" dxfId="8" priority="4" operator="equal">
      <formula>"yes"</formula>
    </cfRule>
  </conditionalFormatting>
  <conditionalFormatting sqref="K26:K37">
    <cfRule type="cellIs" dxfId="7" priority="1" operator="equal">
      <formula>"open"</formula>
    </cfRule>
    <cfRule type="cellIs" dxfId="6" priority="2" operator="equal">
      <formula>"closed"</formula>
    </cfRule>
  </conditionalFormatting>
  <dataValidations count="2">
    <dataValidation type="list" allowBlank="1" showInputMessage="1" showErrorMessage="1" sqref="K26:K37" xr:uid="{FB1C671D-D0D2-4FD7-9CB3-0E03D2E1A918}">
      <formula1>"OPEN,CLOSED,N/A"</formula1>
    </dataValidation>
    <dataValidation type="list" allowBlank="1" showInputMessage="1" showErrorMessage="1" sqref="I2" xr:uid="{899EFC4F-73CD-4023-839A-57AC3F78BF00}">
      <formula1>"1,2,3,4,5,6,7,8,9,10,11,12,13,14,15,16,17,18,19,20,21,22,23,24"</formula1>
    </dataValidation>
  </dataValidations>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7EF8D-5C35-4780-B790-DB92F273F8DB}">
  <dimension ref="A1:K37"/>
  <sheetViews>
    <sheetView workbookViewId="0">
      <selection activeCell="F63" sqref="F63:F64"/>
    </sheetView>
  </sheetViews>
  <sheetFormatPr baseColWidth="10" defaultColWidth="8.6640625" defaultRowHeight="15"/>
  <cols>
    <col min="1" max="1" width="14" customWidth="1"/>
    <col min="2" max="2" width="17.33203125" customWidth="1"/>
    <col min="3" max="3" width="18.6640625" customWidth="1"/>
    <col min="4" max="4" width="20.1640625" customWidth="1"/>
    <col min="5" max="5" width="31.6640625" customWidth="1"/>
    <col min="6" max="6" width="21" customWidth="1"/>
    <col min="7" max="7" width="17.33203125" customWidth="1"/>
    <col min="8" max="9" width="8.5" customWidth="1"/>
    <col min="10" max="11" width="17.33203125" customWidth="1"/>
  </cols>
  <sheetData>
    <row r="1" spans="1:11" ht="14.75" customHeight="1">
      <c r="A1" s="100" t="s">
        <v>90</v>
      </c>
      <c r="B1" s="101"/>
      <c r="C1" s="101"/>
      <c r="D1" s="101"/>
      <c r="E1" s="101"/>
      <c r="F1" s="102"/>
      <c r="G1" s="17" t="s">
        <v>60</v>
      </c>
      <c r="H1" s="17">
        <f>'Ogólny '!R4</f>
        <v>2024</v>
      </c>
      <c r="I1" s="18"/>
      <c r="J1" s="19"/>
      <c r="K1" s="20"/>
    </row>
    <row r="2" spans="1:11" ht="14.75" customHeight="1">
      <c r="A2" s="103"/>
      <c r="B2" s="104"/>
      <c r="C2" s="104"/>
      <c r="D2" s="104"/>
      <c r="E2" s="104"/>
      <c r="F2" s="105"/>
      <c r="G2" s="21"/>
      <c r="H2" s="22"/>
      <c r="I2" s="23"/>
      <c r="J2" s="24"/>
      <c r="K2" s="25"/>
    </row>
    <row r="3" spans="1:11">
      <c r="A3" s="26"/>
      <c r="B3" s="27"/>
      <c r="C3" s="27"/>
      <c r="D3" s="27"/>
      <c r="E3" s="27"/>
      <c r="F3" s="27"/>
      <c r="G3" s="27"/>
      <c r="H3" s="27"/>
      <c r="I3" s="27"/>
      <c r="J3" s="27"/>
      <c r="K3" s="28"/>
    </row>
    <row r="4" spans="1:11">
      <c r="A4" s="26"/>
      <c r="B4" s="27"/>
      <c r="C4" s="27"/>
      <c r="D4" s="27"/>
      <c r="E4" s="27"/>
      <c r="F4" s="27"/>
      <c r="G4" s="27"/>
      <c r="H4" s="27"/>
      <c r="I4" s="27"/>
      <c r="J4" s="27"/>
      <c r="K4" s="28"/>
    </row>
    <row r="5" spans="1:11">
      <c r="A5" s="26"/>
      <c r="B5" s="27"/>
      <c r="C5" s="27"/>
      <c r="D5" s="27"/>
      <c r="E5" s="27"/>
      <c r="F5" s="27"/>
      <c r="G5" s="27"/>
      <c r="H5" s="27"/>
      <c r="I5" s="27"/>
      <c r="J5" s="27"/>
      <c r="K5" s="28"/>
    </row>
    <row r="6" spans="1:11">
      <c r="A6" s="26"/>
      <c r="B6" s="27"/>
      <c r="C6" s="27"/>
      <c r="D6" s="27"/>
      <c r="E6" s="27"/>
      <c r="F6" s="27"/>
      <c r="G6" s="27"/>
      <c r="H6" s="27"/>
      <c r="I6" s="27"/>
      <c r="J6" s="27"/>
      <c r="K6" s="28"/>
    </row>
    <row r="7" spans="1:11">
      <c r="A7" s="26"/>
      <c r="B7" s="27"/>
      <c r="C7" s="27"/>
      <c r="D7" s="27"/>
      <c r="E7" s="27"/>
      <c r="F7" s="27"/>
      <c r="G7" s="27"/>
      <c r="H7" s="27"/>
      <c r="I7" s="27"/>
      <c r="J7" s="27"/>
      <c r="K7" s="28"/>
    </row>
    <row r="8" spans="1:11">
      <c r="A8" s="26"/>
      <c r="B8" s="27"/>
      <c r="C8" s="27"/>
      <c r="D8" s="27"/>
      <c r="E8" s="27"/>
      <c r="F8" s="27"/>
      <c r="G8" s="27"/>
      <c r="H8" s="27"/>
      <c r="I8" s="27"/>
      <c r="J8" s="27"/>
      <c r="K8" s="28"/>
    </row>
    <row r="9" spans="1:11">
      <c r="A9" s="26"/>
      <c r="B9" s="27"/>
      <c r="C9" s="27"/>
      <c r="D9" s="27"/>
      <c r="E9" s="27"/>
      <c r="F9" s="27"/>
      <c r="G9" s="27"/>
      <c r="H9" s="27"/>
      <c r="I9" s="27"/>
      <c r="J9" s="27"/>
      <c r="K9" s="28"/>
    </row>
    <row r="10" spans="1:11">
      <c r="A10" s="26"/>
      <c r="B10" s="27"/>
      <c r="C10" s="27"/>
      <c r="D10" s="27"/>
      <c r="E10" s="27"/>
      <c r="F10" s="27"/>
      <c r="G10" s="27"/>
      <c r="H10" s="27"/>
      <c r="I10" s="27"/>
      <c r="J10" s="27"/>
      <c r="K10" s="28"/>
    </row>
    <row r="11" spans="1:11">
      <c r="A11" s="26"/>
      <c r="B11" s="27"/>
      <c r="C11" s="27"/>
      <c r="D11" s="27"/>
      <c r="E11" s="27"/>
      <c r="F11" s="27"/>
      <c r="G11" s="27"/>
      <c r="H11" s="27"/>
      <c r="I11" s="27"/>
      <c r="J11" s="27"/>
      <c r="K11" s="28"/>
    </row>
    <row r="12" spans="1:11">
      <c r="A12" s="26"/>
      <c r="B12" s="27"/>
      <c r="C12" s="27"/>
      <c r="D12" s="27"/>
      <c r="E12" s="27"/>
      <c r="F12" s="27"/>
      <c r="G12" s="27"/>
      <c r="H12" s="27"/>
      <c r="I12" s="27"/>
      <c r="J12" s="27"/>
      <c r="K12" s="28"/>
    </row>
    <row r="13" spans="1:11">
      <c r="A13" s="26"/>
      <c r="B13" s="27"/>
      <c r="C13" s="27"/>
      <c r="D13" s="27"/>
      <c r="E13" s="27"/>
      <c r="F13" s="27"/>
      <c r="G13" s="27"/>
      <c r="H13" s="27"/>
      <c r="I13" s="27"/>
      <c r="J13" s="27"/>
      <c r="K13" s="28"/>
    </row>
    <row r="14" spans="1:11">
      <c r="A14" s="26"/>
      <c r="B14" s="27"/>
      <c r="C14" s="27"/>
      <c r="D14" s="27"/>
      <c r="E14" s="27"/>
      <c r="F14" s="27"/>
      <c r="G14" s="27"/>
      <c r="H14" s="27"/>
      <c r="I14" s="27"/>
      <c r="J14" s="27"/>
      <c r="K14" s="28"/>
    </row>
    <row r="15" spans="1:11">
      <c r="A15" s="26"/>
      <c r="B15" s="27"/>
      <c r="C15" s="27"/>
      <c r="D15" s="27"/>
      <c r="E15" s="27"/>
      <c r="F15" s="27"/>
      <c r="G15" s="27"/>
      <c r="H15" s="27"/>
      <c r="I15" s="27"/>
      <c r="J15" s="27"/>
      <c r="K15" s="28"/>
    </row>
    <row r="16" spans="1:11">
      <c r="A16" s="26"/>
      <c r="B16" s="27"/>
      <c r="C16" s="27"/>
      <c r="D16" s="27"/>
      <c r="E16" s="27"/>
      <c r="F16" s="27"/>
      <c r="G16" s="27"/>
      <c r="H16" s="27"/>
      <c r="I16" s="27"/>
      <c r="J16" s="27"/>
      <c r="K16" s="28"/>
    </row>
    <row r="17" spans="1:11">
      <c r="A17" s="26"/>
      <c r="B17" s="27"/>
      <c r="C17" s="27"/>
      <c r="D17" s="27"/>
      <c r="E17" s="27"/>
      <c r="F17" s="27"/>
      <c r="G17" s="27"/>
      <c r="H17" s="27"/>
      <c r="I17" s="27"/>
      <c r="J17" s="27"/>
      <c r="K17" s="28"/>
    </row>
    <row r="18" spans="1:11">
      <c r="A18" s="26"/>
      <c r="B18" s="27"/>
      <c r="C18" s="27"/>
      <c r="D18" s="27"/>
      <c r="E18" s="27"/>
      <c r="F18" s="27"/>
      <c r="G18" s="27"/>
      <c r="H18" s="27"/>
      <c r="I18" s="27"/>
      <c r="J18" s="27"/>
      <c r="K18" s="28"/>
    </row>
    <row r="19" spans="1:11">
      <c r="A19" s="26"/>
      <c r="B19" s="27"/>
      <c r="C19" s="27"/>
      <c r="D19" s="27"/>
      <c r="E19" s="27"/>
      <c r="F19" s="27"/>
      <c r="G19" s="27"/>
      <c r="H19" s="27"/>
      <c r="I19" s="27"/>
      <c r="J19" s="27"/>
      <c r="K19" s="28"/>
    </row>
    <row r="20" spans="1:11">
      <c r="A20" s="26"/>
      <c r="B20" s="27"/>
      <c r="C20" s="27"/>
      <c r="D20" s="27"/>
      <c r="E20" s="27"/>
      <c r="F20" s="27"/>
      <c r="G20" s="27"/>
      <c r="H20" s="27"/>
      <c r="I20" s="27"/>
      <c r="J20" s="27"/>
      <c r="K20" s="28"/>
    </row>
    <row r="21" spans="1:11">
      <c r="A21" s="26"/>
      <c r="B21" s="27"/>
      <c r="C21" s="27"/>
      <c r="D21" s="27"/>
      <c r="E21" s="27"/>
      <c r="F21" s="27"/>
      <c r="G21" s="27"/>
      <c r="H21" s="27"/>
      <c r="I21" s="27"/>
      <c r="J21" s="27"/>
      <c r="K21" s="28"/>
    </row>
    <row r="22" spans="1:11" ht="16" thickBot="1">
      <c r="A22" s="29"/>
      <c r="B22" s="30"/>
      <c r="C22" s="30"/>
      <c r="D22" s="30"/>
      <c r="E22" s="30"/>
      <c r="F22" s="30"/>
      <c r="G22" s="30"/>
      <c r="H22" s="30"/>
      <c r="I22" s="30"/>
      <c r="J22" s="30"/>
      <c r="K22" s="31"/>
    </row>
    <row r="23" spans="1:11" ht="36" customHeight="1">
      <c r="A23" s="106" t="s">
        <v>61</v>
      </c>
      <c r="B23" s="106"/>
      <c r="C23" s="106"/>
      <c r="D23" s="106"/>
      <c r="E23" s="106"/>
      <c r="F23" s="106"/>
      <c r="G23" s="106"/>
      <c r="H23" s="106"/>
      <c r="I23" s="106"/>
      <c r="J23" s="106"/>
    </row>
    <row r="24" spans="1:11">
      <c r="A24" s="32"/>
      <c r="B24" s="32"/>
      <c r="C24" s="32"/>
      <c r="D24" s="32"/>
      <c r="E24" s="32"/>
      <c r="F24" s="32"/>
      <c r="G24" s="32"/>
      <c r="H24" s="32"/>
      <c r="I24" s="32"/>
      <c r="J24" s="32"/>
    </row>
    <row r="25" spans="1:11" ht="48">
      <c r="A25" s="33" t="s">
        <v>15</v>
      </c>
      <c r="B25" s="33" t="s">
        <v>62</v>
      </c>
      <c r="C25" s="33" t="s">
        <v>63</v>
      </c>
      <c r="D25" s="33" t="s">
        <v>64</v>
      </c>
      <c r="E25" s="33" t="s">
        <v>65</v>
      </c>
      <c r="F25" s="33" t="s">
        <v>66</v>
      </c>
      <c r="G25" s="33" t="s">
        <v>10</v>
      </c>
      <c r="H25" s="107" t="s">
        <v>67</v>
      </c>
      <c r="I25" s="108"/>
      <c r="J25" s="33" t="s">
        <v>68</v>
      </c>
      <c r="K25" s="33" t="s">
        <v>69</v>
      </c>
    </row>
    <row r="26" spans="1:11">
      <c r="A26" s="34">
        <v>43466</v>
      </c>
      <c r="B26" s="35"/>
      <c r="C26" s="35"/>
      <c r="D26" s="36"/>
      <c r="E26" s="37"/>
      <c r="F26" s="37"/>
      <c r="G26" s="38"/>
      <c r="H26" s="98"/>
      <c r="I26" s="99"/>
      <c r="J26" s="37"/>
      <c r="K26" s="38"/>
    </row>
    <row r="27" spans="1:11">
      <c r="A27" s="34">
        <v>43497</v>
      </c>
      <c r="B27" s="35"/>
      <c r="C27" s="35"/>
      <c r="D27" s="36"/>
      <c r="E27" s="37"/>
      <c r="F27" s="37"/>
      <c r="G27" s="38"/>
      <c r="H27" s="98"/>
      <c r="I27" s="99"/>
      <c r="J27" s="37"/>
      <c r="K27" s="38"/>
    </row>
    <row r="28" spans="1:11">
      <c r="A28" s="34">
        <v>43525</v>
      </c>
      <c r="B28" s="35"/>
      <c r="C28" s="35"/>
      <c r="D28" s="36"/>
      <c r="E28" s="37"/>
      <c r="F28" s="37"/>
      <c r="G28" s="38"/>
      <c r="H28" s="98"/>
      <c r="I28" s="99"/>
      <c r="J28" s="37"/>
      <c r="K28" s="38"/>
    </row>
    <row r="29" spans="1:11">
      <c r="A29" s="34">
        <v>43556</v>
      </c>
      <c r="B29" s="35"/>
      <c r="C29" s="35"/>
      <c r="D29" s="36"/>
      <c r="E29" s="37"/>
      <c r="F29" s="37"/>
      <c r="G29" s="38"/>
      <c r="H29" s="98"/>
      <c r="I29" s="99"/>
      <c r="J29" s="37"/>
      <c r="K29" s="38"/>
    </row>
    <row r="30" spans="1:11">
      <c r="A30" s="34">
        <v>43586</v>
      </c>
      <c r="B30" s="35"/>
      <c r="C30" s="35"/>
      <c r="D30" s="36"/>
      <c r="E30" s="37"/>
      <c r="F30" s="37"/>
      <c r="G30" s="38"/>
      <c r="H30" s="98"/>
      <c r="I30" s="99"/>
      <c r="J30" s="37"/>
      <c r="K30" s="38"/>
    </row>
    <row r="31" spans="1:11">
      <c r="A31" s="34">
        <v>43617</v>
      </c>
      <c r="B31" s="35"/>
      <c r="C31" s="35"/>
      <c r="D31" s="36"/>
      <c r="E31" s="39"/>
      <c r="F31" s="40"/>
      <c r="G31" s="38"/>
      <c r="H31" s="98"/>
      <c r="I31" s="99"/>
      <c r="J31" s="37"/>
      <c r="K31" s="38"/>
    </row>
    <row r="32" spans="1:11">
      <c r="A32" s="34">
        <v>43647</v>
      </c>
      <c r="B32" s="35"/>
      <c r="C32" s="35"/>
      <c r="D32" s="36"/>
      <c r="E32" s="40"/>
      <c r="F32" s="40"/>
      <c r="G32" s="38"/>
      <c r="H32" s="98"/>
      <c r="I32" s="99"/>
      <c r="J32" s="37"/>
      <c r="K32" s="38"/>
    </row>
    <row r="33" spans="1:11">
      <c r="A33" s="34">
        <v>43678</v>
      </c>
      <c r="B33" s="35"/>
      <c r="C33" s="35"/>
      <c r="D33" s="36"/>
      <c r="E33" s="37"/>
      <c r="F33" s="37"/>
      <c r="G33" s="38"/>
      <c r="H33" s="98"/>
      <c r="I33" s="99"/>
      <c r="J33" s="37"/>
      <c r="K33" s="38"/>
    </row>
    <row r="34" spans="1:11">
      <c r="A34" s="34">
        <v>43709</v>
      </c>
      <c r="B34" s="35"/>
      <c r="C34" s="35"/>
      <c r="D34" s="36"/>
      <c r="E34" s="37"/>
      <c r="F34" s="37"/>
      <c r="G34" s="38"/>
      <c r="H34" s="98"/>
      <c r="I34" s="99"/>
      <c r="J34" s="37"/>
      <c r="K34" s="38"/>
    </row>
    <row r="35" spans="1:11">
      <c r="A35" s="34">
        <v>43739</v>
      </c>
      <c r="B35" s="35"/>
      <c r="C35" s="35"/>
      <c r="D35" s="36"/>
      <c r="E35" s="37"/>
      <c r="F35" s="37"/>
      <c r="G35" s="38"/>
      <c r="H35" s="98"/>
      <c r="I35" s="99"/>
      <c r="J35" s="37"/>
      <c r="K35" s="38"/>
    </row>
    <row r="36" spans="1:11">
      <c r="A36" s="34">
        <v>43770</v>
      </c>
      <c r="B36" s="35"/>
      <c r="C36" s="35"/>
      <c r="D36" s="36"/>
      <c r="E36" s="37"/>
      <c r="F36" s="37"/>
      <c r="G36" s="38"/>
      <c r="H36" s="98"/>
      <c r="I36" s="99"/>
      <c r="J36" s="37"/>
      <c r="K36" s="38"/>
    </row>
    <row r="37" spans="1:11">
      <c r="A37" s="34">
        <v>43800</v>
      </c>
      <c r="B37" s="35"/>
      <c r="C37" s="35"/>
      <c r="D37" s="36"/>
      <c r="E37" s="37"/>
      <c r="F37" s="37"/>
      <c r="G37" s="38"/>
      <c r="H37" s="98"/>
      <c r="I37" s="99"/>
      <c r="J37" s="37"/>
      <c r="K37" s="38"/>
    </row>
  </sheetData>
  <mergeCells count="15">
    <mergeCell ref="H35:I35"/>
    <mergeCell ref="H36:I36"/>
    <mergeCell ref="H37:I37"/>
    <mergeCell ref="H29:I29"/>
    <mergeCell ref="H30:I30"/>
    <mergeCell ref="H31:I31"/>
    <mergeCell ref="H32:I32"/>
    <mergeCell ref="H33:I33"/>
    <mergeCell ref="H34:I34"/>
    <mergeCell ref="H28:I28"/>
    <mergeCell ref="A1:F2"/>
    <mergeCell ref="A23:J23"/>
    <mergeCell ref="H25:I25"/>
    <mergeCell ref="H26:I26"/>
    <mergeCell ref="H27:I27"/>
  </mergeCells>
  <conditionalFormatting sqref="B26:B37">
    <cfRule type="cellIs" dxfId="5" priority="5" operator="equal">
      <formula>"no"</formula>
    </cfRule>
    <cfRule type="cellIs" dxfId="4" priority="6" operator="equal">
      <formula>"yes"</formula>
    </cfRule>
  </conditionalFormatting>
  <conditionalFormatting sqref="C26:C37">
    <cfRule type="cellIs" dxfId="3" priority="3" operator="equal">
      <formula>"no"</formula>
    </cfRule>
    <cfRule type="cellIs" dxfId="2" priority="4" operator="equal">
      <formula>"yes"</formula>
    </cfRule>
  </conditionalFormatting>
  <conditionalFormatting sqref="K26:K37">
    <cfRule type="cellIs" dxfId="1" priority="1" operator="equal">
      <formula>"open"</formula>
    </cfRule>
    <cfRule type="cellIs" dxfId="0" priority="2" operator="equal">
      <formula>"closed"</formula>
    </cfRule>
  </conditionalFormatting>
  <dataValidations count="2">
    <dataValidation type="list" allowBlank="1" showInputMessage="1" showErrorMessage="1" sqref="K26:K37" xr:uid="{309AF3E0-A61C-4293-8A9A-AF03B595B1DE}">
      <formula1>"OPEN,CLOSED,N/A"</formula1>
    </dataValidation>
    <dataValidation type="list" allowBlank="1" showInputMessage="1" showErrorMessage="1" sqref="I2" xr:uid="{ED4570F5-9918-4B6C-B946-1EF068BB3F09}">
      <formula1>"1,2,3,4,5,6,7,8,9,10,11,12,13,14,15,16,17,18,19,20,21,22,23,24"</formula1>
    </dataValidation>
  </dataValidations>
  <pageMargins left="0.7" right="0.7" top="0.75" bottom="0.75" header="0.3" footer="0.3"/>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B7527-4116-4FEC-ACE4-8B85CE595F95}">
  <dimension ref="C3"/>
  <sheetViews>
    <sheetView workbookViewId="0">
      <selection activeCell="F63" sqref="F63:F64"/>
    </sheetView>
  </sheetViews>
  <sheetFormatPr baseColWidth="10" defaultColWidth="11.5" defaultRowHeight="15"/>
  <sheetData>
    <row r="3" spans="3:3">
      <c r="C3" t="s">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24be14-7413-4adb-abfa-0aecf444014d">
      <Terms xmlns="http://schemas.microsoft.com/office/infopath/2007/PartnerControls"/>
    </lcf76f155ced4ddcb4097134ff3c332f>
    <TaxCatchAll xmlns="2e441e71-6780-455d-80c1-32ae3be1515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C28BA2C812DFC84F99413BFAF0B16270" ma:contentTypeVersion="17" ma:contentTypeDescription="Utwórz nowy dokument." ma:contentTypeScope="" ma:versionID="077f8eee19a8ce3928a5f8b95d9ac5cd">
  <xsd:schema xmlns:xsd="http://www.w3.org/2001/XMLSchema" xmlns:xs="http://www.w3.org/2001/XMLSchema" xmlns:p="http://schemas.microsoft.com/office/2006/metadata/properties" xmlns:ns2="b524be14-7413-4adb-abfa-0aecf444014d" xmlns:ns3="2e441e71-6780-455d-80c1-32ae3be1515b" targetNamespace="http://schemas.microsoft.com/office/2006/metadata/properties" ma:root="true" ma:fieldsID="a41e6109a280d5af516c5f76c1a9121b" ns2:_="" ns3:_="">
    <xsd:import namespace="b524be14-7413-4adb-abfa-0aecf444014d"/>
    <xsd:import namespace="2e441e71-6780-455d-80c1-32ae3be1515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24be14-7413-4adb-abfa-0aecf44401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i obrazów" ma:readOnly="false" ma:fieldId="{5cf76f15-5ced-4ddc-b409-7134ff3c332f}" ma:taxonomyMulti="true" ma:sspId="06e293ab-6f1e-403f-b4fa-37fdcb67bfd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441e71-6780-455d-80c1-32ae3be1515b" elementFormDefault="qualified">
    <xsd:import namespace="http://schemas.microsoft.com/office/2006/documentManagement/types"/>
    <xsd:import namespace="http://schemas.microsoft.com/office/infopath/2007/PartnerControls"/>
    <xsd:element name="SharedWithUsers" ma:index="18"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Udostępnione dla — szczegóły" ma:internalName="SharedWithDetails" ma:readOnly="true">
      <xsd:simpleType>
        <xsd:restriction base="dms:Note">
          <xsd:maxLength value="255"/>
        </xsd:restriction>
      </xsd:simpleType>
    </xsd:element>
    <xsd:element name="TaxCatchAll" ma:index="23" nillable="true" ma:displayName="Taxonomy Catch All Column" ma:hidden="true" ma:list="{56a52960-ba64-48ce-ab19-a5625ba4819e}" ma:internalName="TaxCatchAll" ma:showField="CatchAllData" ma:web="2e441e71-6780-455d-80c1-32ae3be151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BAE140-F51D-4022-B824-30E0113F8444}">
  <ds:schemaRefs>
    <ds:schemaRef ds:uri="http://schemas.microsoft.com/sharepoint/v3/contenttype/forms"/>
  </ds:schemaRefs>
</ds:datastoreItem>
</file>

<file path=customXml/itemProps2.xml><?xml version="1.0" encoding="utf-8"?>
<ds:datastoreItem xmlns:ds="http://schemas.openxmlformats.org/officeDocument/2006/customXml" ds:itemID="{49D094D0-89AB-438B-B2EB-27311B8FEF8B}">
  <ds:schemaRefs>
    <ds:schemaRef ds:uri="http://schemas.microsoft.com/office/infopath/2007/PartnerControls"/>
    <ds:schemaRef ds:uri="b524be14-7413-4adb-abfa-0aecf444014d"/>
    <ds:schemaRef ds:uri="http://purl.org/dc/terms/"/>
    <ds:schemaRef ds:uri="http://purl.org/dc/elements/1.1/"/>
    <ds:schemaRef ds:uri="http://www.w3.org/XML/1998/namespace"/>
    <ds:schemaRef ds:uri="http://schemas.microsoft.com/office/2006/metadata/properties"/>
    <ds:schemaRef ds:uri="http://schemas.microsoft.com/office/2006/documentManagement/types"/>
    <ds:schemaRef ds:uri="2e441e71-6780-455d-80c1-32ae3be1515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5CC0588E-5C77-4239-8101-295CE604A0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24be14-7413-4adb-abfa-0aecf444014d"/>
    <ds:schemaRef ds:uri="2e441e71-6780-455d-80c1-32ae3be151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34</vt:i4>
      </vt:variant>
    </vt:vector>
  </HeadingPairs>
  <TitlesOfParts>
    <vt:vector size="34" baseType="lpstr">
      <vt:lpstr>Ogólny </vt:lpstr>
      <vt:lpstr>Arkusz1</vt:lpstr>
      <vt:lpstr>Karta wskaźnika PRZYKŁAD</vt:lpstr>
      <vt:lpstr>Sprzedaż netto narastająco</vt:lpstr>
      <vt:lpstr>Poziom przyjętych zamówień</vt:lpstr>
      <vt:lpstr>Zużycie materiałów</vt:lpstr>
      <vt:lpstr>Odpad technologiczny jakościowy</vt:lpstr>
      <vt:lpstr>Kary</vt:lpstr>
      <vt:lpstr>Koszt pracy bezpośredniej</vt:lpstr>
      <vt:lpstr>Koszt pracy niebezpośr.-prod.</vt:lpstr>
      <vt:lpstr>Koszt transportu out</vt:lpstr>
      <vt:lpstr>Koszt transportu in</vt:lpstr>
      <vt:lpstr>Wynagrodzenie kadry</vt:lpstr>
      <vt:lpstr>Marża bezpośrednia</vt:lpstr>
      <vt:lpstr>Koszty wydziałowe</vt:lpstr>
      <vt:lpstr>EBITDA</vt:lpstr>
      <vt:lpstr>CAPEX</vt:lpstr>
      <vt:lpstr>Zwroty od klienta</vt:lpstr>
      <vt:lpstr>Wymiana u klienta</vt:lpstr>
      <vt:lpstr>Zwroty klientów (wewnętrzne)</vt:lpstr>
      <vt:lpstr>Poziom Backlog</vt:lpstr>
      <vt:lpstr>Dostawy na czas</vt:lpstr>
      <vt:lpstr>OEE</vt:lpstr>
      <vt:lpstr>WIP</vt:lpstr>
      <vt:lpstr>Materiał</vt:lpstr>
      <vt:lpstr>Wyroby gotowe</vt:lpstr>
      <vt:lpstr>Towary</vt:lpstr>
      <vt:lpstr>Współczynnik rotacji</vt:lpstr>
      <vt:lpstr>Absencja</vt:lpstr>
      <vt:lpstr>Poziom zaległych ulopów</vt:lpstr>
      <vt:lpstr>Ilość wypadków</vt:lpstr>
      <vt:lpstr>Zużycie energii elektrycznej</vt:lpstr>
      <vt:lpstr>Zużycie wody</vt:lpstr>
      <vt:lpstr>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Konrad Stefanik</dc:creator>
  <cp:keywords/>
  <dc:description/>
  <cp:lastModifiedBy>Piotr Wiśniewski</cp:lastModifiedBy>
  <cp:revision/>
  <dcterms:created xsi:type="dcterms:W3CDTF">2020-12-09T20:39:58Z</dcterms:created>
  <dcterms:modified xsi:type="dcterms:W3CDTF">2026-09-05T16:39:10Z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0x010100C28BA2C812DFC84F99413BFAF0B16270</vt:lpwstr>
  </property>
  <property fmtid="{D5CDD505-2E9C-101B-9397-08002B2CF9AE}" pid="3" name="MediaServiceImageTags">
    <vt:lpwstr/>
  </property>
</Properties>
</file>