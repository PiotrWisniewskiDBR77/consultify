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łożenia" state="visible" r:id="rId4"/>
    <sheet sheetId="2" name="P&amp;L 3-letni" state="visible" r:id="rId5"/>
    <sheet sheetId="3" name="Wskaźniki" state="visible" r:id="rId6"/>
    <sheet sheetId="4" name="Info" state="visible" r:id="rId7"/>
  </sheets>
  <calcPr calcId="171027"/>
</workbook>
</file>

<file path=xl/sharedStrings.xml><?xml version="1.0" encoding="utf-8"?>
<sst xmlns="http://schemas.openxmlformats.org/spreadsheetml/2006/main" count="48" uniqueCount="45">
  <si>
    <t>Parametr</t>
  </si>
  <si>
    <t>Wartość</t>
  </si>
  <si>
    <t>Jednostka</t>
  </si>
  <si>
    <t>Przychód bazowy (rok 1)</t>
  </si>
  <si>
    <t>zł</t>
  </si>
  <si>
    <t>Wzrost przychodów r/r</t>
  </si>
  <si>
    <t>%</t>
  </si>
  <si>
    <t>Marża COGS</t>
  </si>
  <si>
    <t>Koszt wdrożenia AI</t>
  </si>
  <si>
    <t>Stopa podatkowa</t>
  </si>
  <si>
    <t>Pozycja</t>
  </si>
  <si>
    <t>2026</t>
  </si>
  <si>
    <t>2027</t>
  </si>
  <si>
    <t>2028</t>
  </si>
  <si>
    <t>Marża netto</t>
  </si>
  <si>
    <t>Przychody</t>
  </si>
  <si>
    <t>COGS</t>
  </si>
  <si>
    <t>Zysk brutto</t>
  </si>
  <si>
    <t>Koszty operacyjne</t>
  </si>
  <si>
    <t>EBIT</t>
  </si>
  <si>
    <t>Podatek</t>
  </si>
  <si>
    <t>Zysk netto</t>
  </si>
  <si>
    <t>Inicjatywa</t>
  </si>
  <si>
    <t>AI Readiness Score</t>
  </si>
  <si>
    <t>Priorytet</t>
  </si>
  <si>
    <t>ROI</t>
  </si>
  <si>
    <t>Automatyzacja obsługi</t>
  </si>
  <si>
    <t>Predykcja popytu</t>
  </si>
  <si>
    <t>Kontrola jakości CV</t>
  </si>
  <si>
    <t>Optymalizacja energii</t>
  </si>
  <si>
    <t>Chatbot wewnętrzny</t>
  </si>
  <si>
    <t>Model inwestycyjny AI — AI Platform Solutions</t>
  </si>
  <si>
    <t>Consultify · konsultingowy arkusz roboczy</t>
  </si>
  <si>
    <t>Opis / Description</t>
  </si>
  <si>
    <t>Trzyletni model finansowy wdrożenia platformy AI (założenia → P&amp;L → wskaźniki).</t>
  </si>
  <si>
    <t>Organizacja / Organization</t>
  </si>
  <si>
    <t>AI Platform Solutions</t>
  </si>
  <si>
    <t>Źródło / Source</t>
  </si>
  <si>
    <t>Consultify — deliverables generator (seed)</t>
  </si>
  <si>
    <t>Wygenerowano / Generated</t>
  </si>
  <si>
    <t>2026-07-02</t>
  </si>
  <si>
    <t>Autor / Author</t>
  </si>
  <si>
    <t>Consultify</t>
  </si>
  <si>
    <t>Arkusze / Sheets</t>
  </si>
  <si>
    <t>Założenia, P&amp;L 3-letni, Wskaźniki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</si>
</sst>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"/>
    <numFmt numFmtId="165" formatCode="# ##0.00&quot; zł&quot;"/>
  </numFmts>
  <fonts count="7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FFFF"/>
      <sz val="15"/>
      <name val="Calibri"/>
    </font>
    <font>
      <color rgb="FFFFFFFF"/>
      <sz val="10"/>
      <name val="Calibri"/>
    </font>
    <font>
      <b/>
      <color rgb="FF64748B"/>
      <sz val="10"/>
      <name val="Calibri"/>
    </font>
    <font>
      <color rgb="FF1F2933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F3F7FB"/>
      </patternFill>
    </fill>
    <fill>
      <patternFill patternType="solid">
        <fgColor rgb="FFE2EFDA"/>
      </patternFill>
    </fill>
    <fill>
      <patternFill patternType="solid">
        <fgColor rgb="FF1B5FA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165" fontId="0" fillId="3" borderId="0" xfId="0" applyNumberFormat="1" applyFill="1" applyAlignment="1">
      <alignment horizontal="right" vertical="center"/>
    </xf>
    <xf numFmtId="10" fontId="0" fillId="3" borderId="0" xfId="0" applyNumberFormat="1" applyFill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5" fontId="2" fillId="4" borderId="2" xfId="0" applyNumberFormat="1" applyFont="1" applyFill="1" applyBorder="1" applyAlignment="1">
      <alignment horizontal="right" vertical="center"/>
    </xf>
    <xf numFmtId="10" fontId="2" fillId="4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3" max="3" width="11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4200000</v>
      </c>
      <c r="C2" s="2" t="s">
        <v>4</v>
      </c>
    </row>
    <row r="3" spans="1:3" x14ac:dyDescent="0.25">
      <c r="A3" s="4" t="s">
        <v>5</v>
      </c>
      <c r="B3" s="5">
        <v>0.18</v>
      </c>
      <c r="C3" s="4" t="s">
        <v>6</v>
      </c>
    </row>
    <row r="4" spans="1:3" x14ac:dyDescent="0.25">
      <c r="A4" s="2" t="s">
        <v>7</v>
      </c>
      <c r="B4" s="3">
        <v>0.34</v>
      </c>
      <c r="C4" s="2" t="s">
        <v>6</v>
      </c>
    </row>
    <row r="5" spans="1:3" x14ac:dyDescent="0.25">
      <c r="A5" s="4" t="s">
        <v>8</v>
      </c>
      <c r="B5" s="5">
        <v>950000</v>
      </c>
      <c r="C5" s="4" t="s">
        <v>4</v>
      </c>
    </row>
    <row r="6" spans="1:3" x14ac:dyDescent="0.25">
      <c r="A6" s="2" t="s">
        <v>9</v>
      </c>
      <c r="B6" s="3">
        <v>0.19</v>
      </c>
      <c r="C6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4" width="24" customWidth="1"/>
    <col min="5" max="5" width="13" customWidth="1"/>
  </cols>
  <sheetData>
    <row r="1" ht="24" customHeight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s="2" t="s">
        <v>15</v>
      </c>
      <c r="B2" s="6">
        <v>4200000</v>
      </c>
      <c r="C2" s="6">
        <f>=B2*(1+'Założenia'!B3)</f>
      </c>
      <c r="D2" s="6">
        <f>=C2*(1+'Założenia'!B3)</f>
      </c>
      <c r="E2" s="7"/>
    </row>
    <row r="3" spans="1:5" x14ac:dyDescent="0.25">
      <c r="A3" s="4" t="s">
        <v>16</v>
      </c>
      <c r="B3" s="8">
        <f>=B2*'Założenia'!B4</f>
      </c>
      <c r="C3" s="8">
        <f>=C2*'Założenia'!B4</f>
      </c>
      <c r="D3" s="8">
        <f>=D2*'Założenia'!B4</f>
      </c>
      <c r="E3" s="9"/>
    </row>
    <row r="4" spans="1:5" x14ac:dyDescent="0.25">
      <c r="A4" s="10" t="s">
        <v>17</v>
      </c>
      <c r="B4" s="11">
        <f>=B2-B3</f>
      </c>
      <c r="C4" s="11">
        <f>=C2-C3</f>
      </c>
      <c r="D4" s="11">
        <f>=D2-D3</f>
      </c>
      <c r="E4" s="12">
        <f>=B4/B2</f>
      </c>
    </row>
    <row r="5" spans="1:5" x14ac:dyDescent="0.25">
      <c r="A5" s="4" t="s">
        <v>18</v>
      </c>
      <c r="B5" s="8">
        <v>1400000</v>
      </c>
      <c r="C5" s="8">
        <v>1560000</v>
      </c>
      <c r="D5" s="8">
        <v>1690000</v>
      </c>
      <c r="E5" s="9"/>
    </row>
    <row r="6" spans="1:5" x14ac:dyDescent="0.25">
      <c r="A6" s="10" t="s">
        <v>19</v>
      </c>
      <c r="B6" s="11">
        <f>=B4-B5</f>
      </c>
      <c r="C6" s="11">
        <f>=C4-C5</f>
      </c>
      <c r="D6" s="11">
        <f>=D4-D5</f>
      </c>
      <c r="E6" s="12">
        <f>=B6/B2</f>
      </c>
    </row>
    <row r="7" spans="1:5" x14ac:dyDescent="0.25">
      <c r="A7" s="4" t="s">
        <v>20</v>
      </c>
      <c r="B7" s="8">
        <f>=B6*'Założenia'!B6</f>
      </c>
      <c r="C7" s="8">
        <f>=C6*'Założenia'!B6</f>
      </c>
      <c r="D7" s="8">
        <f>=D6*'Założenia'!B6</f>
      </c>
      <c r="E7" s="9"/>
    </row>
    <row r="8" spans="1:5" x14ac:dyDescent="0.25">
      <c r="A8" s="10" t="s">
        <v>21</v>
      </c>
      <c r="B8" s="11">
        <f>=B6-B7</f>
      </c>
      <c r="C8" s="11">
        <f>=C6-C7</f>
      </c>
      <c r="D8" s="11">
        <f>=D6-D7</f>
      </c>
      <c r="E8" s="12">
        <f>=B8/B2</f>
      </c>
    </row>
  </sheetData>
  <conditionalFormatting sqref="E2:E8">
    <cfRule type="colorScale" priority="1">
      <colorScale>
        <cfvo type="min"/>
        <cfvo type="percentile" val="50"/>
        <cfvo type="max"/>
        <color rgb="FFDDEFF0"/>
        <color rgb="FF7FC7CB"/>
        <color rgb="FF2E9098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0" customWidth="1"/>
    <col min="3" max="3" width="11" customWidth="1"/>
    <col min="4" max="4" width="8" customWidth="1"/>
  </cols>
  <sheetData>
    <row r="1" ht="24" customHeight="1" spans="1:4" x14ac:dyDescent="0.25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25">
      <c r="A2" s="2" t="s">
        <v>26</v>
      </c>
      <c r="B2" s="3">
        <v>72</v>
      </c>
      <c r="C2" s="3">
        <v>1</v>
      </c>
      <c r="D2" s="7">
        <v>0.31</v>
      </c>
    </row>
    <row r="3" spans="1:4" x14ac:dyDescent="0.25">
      <c r="A3" s="4" t="s">
        <v>27</v>
      </c>
      <c r="B3" s="5">
        <v>58</v>
      </c>
      <c r="C3" s="5">
        <v>2</v>
      </c>
      <c r="D3" s="9">
        <v>0.22</v>
      </c>
    </row>
    <row r="4" spans="1:4" x14ac:dyDescent="0.25">
      <c r="A4" s="2" t="s">
        <v>28</v>
      </c>
      <c r="B4" s="3">
        <v>84</v>
      </c>
      <c r="C4" s="3">
        <v>1</v>
      </c>
      <c r="D4" s="7">
        <v>0.45</v>
      </c>
    </row>
    <row r="5" spans="1:4" x14ac:dyDescent="0.25">
      <c r="A5" s="4" t="s">
        <v>29</v>
      </c>
      <c r="B5" s="5">
        <v>41</v>
      </c>
      <c r="C5" s="5">
        <v>3</v>
      </c>
      <c r="D5" s="9">
        <v>0.12</v>
      </c>
    </row>
    <row r="6" spans="1:4" x14ac:dyDescent="0.25">
      <c r="A6" s="2" t="s">
        <v>30</v>
      </c>
      <c r="B6" s="3">
        <v>66</v>
      </c>
      <c r="C6" s="3">
        <v>2</v>
      </c>
      <c r="D6" s="7">
        <v>0.19</v>
      </c>
    </row>
  </sheetData>
  <conditionalFormatting sqref="B2:B6">
    <cfRule type="colorScale" priority="1">
      <colorScale>
        <cfvo type="min"/>
        <cfvo type="percentile" val="50"/>
        <cfvo type="max"/>
        <color rgb="FFDDEFF0"/>
        <color rgb="FF7FC7CB"/>
        <color rgb="FF2E9098"/>
      </colorScale>
    </cfRule>
  </conditionalFormatting>
  <conditionalFormatting sqref="C2:C6">
    <cfRule type="colorScale" priority="1">
      <colorScale>
        <cfvo type="min"/>
        <cfvo type="percentile" val="50"/>
        <cfvo type="max"/>
        <color rgb="FFDDEFF0"/>
        <color rgb="FF7FC7CB"/>
        <color rgb="FF2E9098"/>
      </colorScale>
    </cfRule>
  </conditionalFormatting>
  <conditionalFormatting sqref="D2:D6">
    <cfRule type="colorScale" priority="1">
      <colorScale>
        <cfvo type="min"/>
        <cfvo type="percentile" val="50"/>
        <cfvo type="max"/>
        <color rgb="FFDDEFF0"/>
        <color rgb="FF7FC7CB"/>
        <color rgb="FF2E9098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B9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64" customWidth="1"/>
  </cols>
  <sheetData>
    <row r="1" ht="28" customHeight="1" spans="1:2" x14ac:dyDescent="0.25">
      <c r="A1" s="13" t="s">
        <v>31</v>
      </c>
      <c r="B1" s="13"/>
    </row>
    <row r="2" ht="18" customHeight="1" spans="1:2" x14ac:dyDescent="0.25">
      <c r="A2" s="14" t="s">
        <v>32</v>
      </c>
      <c r="B2" s="14"/>
    </row>
    <row r="4" spans="1:2" x14ac:dyDescent="0.25">
      <c r="A4" s="15" t="s">
        <v>33</v>
      </c>
      <c r="B4" s="16" t="s">
        <v>34</v>
      </c>
    </row>
    <row r="5" spans="1:2" x14ac:dyDescent="0.25">
      <c r="A5" s="15" t="s">
        <v>35</v>
      </c>
      <c r="B5" s="16" t="s">
        <v>36</v>
      </c>
    </row>
    <row r="6" spans="1:2" x14ac:dyDescent="0.25">
      <c r="A6" s="15" t="s">
        <v>37</v>
      </c>
      <c r="B6" s="16" t="s">
        <v>38</v>
      </c>
    </row>
    <row r="7" spans="1:2" x14ac:dyDescent="0.25">
      <c r="A7" s="15" t="s">
        <v>39</v>
      </c>
      <c r="B7" s="16" t="s">
        <v>40</v>
      </c>
    </row>
    <row r="8" spans="1:2" x14ac:dyDescent="0.25">
      <c r="A8" s="15" t="s">
        <v>41</v>
      </c>
      <c r="B8" s="16" t="s">
        <v>42</v>
      </c>
    </row>
    <row r="9" spans="1:2" x14ac:dyDescent="0.25">
      <c r="A9" s="15" t="s">
        <v>43</v>
      </c>
      <c r="B9" s="16" t="s">
        <v>44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Założenia</vt:lpstr>
      <vt:lpstr>P&amp;L 3-letni</vt:lpstr>
      <vt:lpstr>Wskaźniki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2026-07-02T11:37:25Z</dcterms:created>
  <dcterms:modified xsi:type="dcterms:W3CDTF">2026-07-02T11:37:25Z</dcterms:modified>
</cp:coreProperties>
</file>