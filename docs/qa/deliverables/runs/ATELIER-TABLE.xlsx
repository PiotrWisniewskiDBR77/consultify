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ve 1 Portfolio" state="visible" r:id="rId4"/>
    <sheet sheetId="2" name="Value at Stake" state="visible" r:id="rId5"/>
    <sheet sheetId="3" name="US Readiness" state="visible" r:id="rId6"/>
    <sheet sheetId="4" name="Info" state="visible" r:id="rId7"/>
  </sheets>
  <calcPr calcId="171027"/>
</workbook>
</file>

<file path=xl/sharedStrings.xml><?xml version="1.0" encoding="utf-8"?>
<sst xmlns="http://schemas.openxmlformats.org/spreadsheetml/2006/main" count="128" uniqueCount="102">
  <si>
    <t>Priority</t>
  </si>
  <si>
    <t>Initiative</t>
  </si>
  <si>
    <t>Owner profile</t>
  </si>
  <si>
    <t>Value low (M EUR/yr)</t>
  </si>
  <si>
    <t>Value high (M EUR/yr)</t>
  </si>
  <si>
    <t>Urgency</t>
  </si>
  <si>
    <t>Status</t>
  </si>
  <si>
    <t>Line 3 Digital Twin</t>
  </si>
  <si>
    <t>Plant + CTO</t>
  </si>
  <si>
    <t>Immediate</t>
  </si>
  <si>
    <t>Executing</t>
  </si>
  <si>
    <t>Procurement Control Tower</t>
  </si>
  <si>
    <t>Procurement + CFO</t>
  </si>
  <si>
    <t>On Track</t>
  </si>
  <si>
    <t>Renewal-Risk Action System</t>
  </si>
  <si>
    <t>Product + Customer Success</t>
  </si>
  <si>
    <t>At Risk</t>
  </si>
  <si>
    <t>Closed-Loop Quality Cockpit</t>
  </si>
  <si>
    <t>QA + Engineering</t>
  </si>
  <si>
    <t>OT Cyber Hardening</t>
  </si>
  <si>
    <t>OT Security + CTO</t>
  </si>
  <si>
    <t>Data Governance Backbone</t>
  </si>
  <si>
    <t>Industrial Data Lead</t>
  </si>
  <si>
    <t>Partner Activation System</t>
  </si>
  <si>
    <t>Partner Program + CS</t>
  </si>
  <si>
    <t>Near term</t>
  </si>
  <si>
    <t>Theme</t>
  </si>
  <si>
    <t>Atelier today</t>
  </si>
  <si>
    <t>Top-quartile ref.</t>
  </si>
  <si>
    <t>Pool low (M EUR)</t>
  </si>
  <si>
    <t>Pool high (M EUR)</t>
  </si>
  <si>
    <t>Gap severity (0-100)</t>
  </si>
  <si>
    <t>Health</t>
  </si>
  <si>
    <t>Line 3 OEE</t>
  </si>
  <si>
    <t>62-66%</t>
  </si>
  <si>
    <t>78-82%</t>
  </si>
  <si>
    <t>Digital gross renewal</t>
  </si>
  <si>
    <t>76-80%</t>
  </si>
  <si>
    <t>88-92%</t>
  </si>
  <si>
    <t>Supplier risk governance</t>
  </si>
  <si>
    <t>Visible, not governed</t>
  </si>
  <si>
    <t>War-room + escalation</t>
  </si>
  <si>
    <t>In Progress</t>
  </si>
  <si>
    <t>Repeat defect rate</t>
  </si>
  <si>
    <t>9-12%</t>
  </si>
  <si>
    <t>3-4%</t>
  </si>
  <si>
    <t>Partner 90-day activation</t>
  </si>
  <si>
    <t>~50% productive</t>
  </si>
  <si>
    <t>75%</t>
  </si>
  <si>
    <t>Changeover time</t>
  </si>
  <si>
    <t>16-20 min</t>
  </si>
  <si>
    <t>8-10 min</t>
  </si>
  <si>
    <t>TOTAL</t>
  </si>
  <si>
    <t/>
  </si>
  <si>
    <t>US requirement</t>
  </si>
  <si>
    <t>Gap to close before scale</t>
  </si>
  <si>
    <t>Owner of closure</t>
  </si>
  <si>
    <t>District &amp; GPO contract readiness</t>
  </si>
  <si>
    <t>Partial</t>
  </si>
  <si>
    <t>Standardized contract pack + evidence library</t>
  </si>
  <si>
    <t>Partner Program + Legal</t>
  </si>
  <si>
    <t>COPPA &amp; US state privacy posture</t>
  </si>
  <si>
    <t>Needs evidence</t>
  </si>
  <si>
    <t>Documented child-data flows, DPIAs, district addenda</t>
  </si>
  <si>
    <t>Industrial Data Lead + Legal</t>
  </si>
  <si>
    <t>FERPA / SOPIPA addenda for Atelier Digital</t>
  </si>
  <si>
    <t>Standard rider, vendor pack, retention SLAs</t>
  </si>
  <si>
    <t>Data Lead + Customer Success</t>
  </si>
  <si>
    <t>AI use-case governance (child-facing)</t>
  </si>
  <si>
    <t>Approved use-case registry, data boundary, audit trail</t>
  </si>
  <si>
    <t>CTO + OT Security + CFO</t>
  </si>
  <si>
    <t>OT &amp; product cybersecurity posture</t>
  </si>
  <si>
    <t>Wave 1 OT hardening floor + audit-ready pack</t>
  </si>
  <si>
    <t>Tariff &amp; origin-aware procurement</t>
  </si>
  <si>
    <t>Origin-aware scorecards, scenario model, playbook</t>
  </si>
  <si>
    <t>Learning-outcome evidence</t>
  </si>
  <si>
    <t>Outcome studies, references, longitudinal usage</t>
  </si>
  <si>
    <t>Customer Success + Marketing</t>
  </si>
  <si>
    <t>LMS / SSO / rostering integrations</t>
  </si>
  <si>
    <t>Standard integration pack + certification status</t>
  </si>
  <si>
    <t>CTO + Customer Success</t>
  </si>
  <si>
    <t>ESG &amp; supply-chain traceability</t>
  </si>
  <si>
    <t>Yes</t>
  </si>
  <si>
    <t>Package as buyer asset, not compliance topic</t>
  </si>
  <si>
    <t>Marketing + Sustainability</t>
  </si>
  <si>
    <t>US partner activation system</t>
  </si>
  <si>
    <t>Activation scorecard, proof assets, cohorts</t>
  </si>
  <si>
    <t>Partner Program + Customer Success</t>
  </si>
  <si>
    <t>Atelier Toys — Digital Transformation Portfolio (Volume I)</t>
  </si>
  <si>
    <t>Consultify · konsultingowy arkusz roboczy</t>
  </si>
  <si>
    <t>Opis / Description</t>
  </si>
  <si>
    <t>Wave 1 portfolio, benchmarked value at stake, and US readiness matrix — derived from 22 leadership personas, 440 interview answers, 18 technology insights.</t>
  </si>
  <si>
    <t>Organizacja / Organization</t>
  </si>
  <si>
    <t>Atelier Toys</t>
  </si>
  <si>
    <t>Źródło / Source</t>
  </si>
  <si>
    <t>ATELIER_TOYS_INTERVIEW_FINDINGS_REPORT (Volume I)</t>
  </si>
  <si>
    <t>Wygenerowano / Generated</t>
  </si>
  <si>
    <t>2026-07-03</t>
  </si>
  <si>
    <t>Autor / Author</t>
  </si>
  <si>
    <t>Consultify</t>
  </si>
  <si>
    <t>Arkusze / Sheets</t>
  </si>
  <si>
    <t>Wave 1 Portfolio, Value at Stake, US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</si>
</sst>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"/>
    <numFmt numFmtId="165" formatCode="# ##0.00&quot; zł&quot;"/>
  </numFmts>
  <fonts count="10" x14ac:knownFonts="1">
    <font>
      <color theme="1"/>
      <family val="2"/>
      <scheme val="minor"/>
      <sz val="11"/>
      <name val="Calibri"/>
    </font>
    <font>
      <b/>
      <color rgb="FFFFFFFF"/>
    </font>
    <font>
      <b/>
      <color rgb="FF85182F"/>
    </font>
    <font>
      <color rgb="FF9A6A00"/>
    </font>
    <font>
      <b/>
      <color rgb="FF1D7A54"/>
    </font>
    <font>
      <b/>
    </font>
    <font>
      <b/>
      <color rgb="FFFFFFFF"/>
      <sz val="15"/>
      <name val="Calibri"/>
    </font>
    <font>
      <color rgb="FFFFFFFF"/>
      <sz val="10"/>
      <name val="Calibri"/>
    </font>
    <font>
      <b/>
      <color rgb="FF64748B"/>
      <sz val="10"/>
      <name val="Calibri"/>
    </font>
    <font>
      <color rgb="FF1F2933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F3F7FB"/>
      </patternFill>
    </fill>
    <fill>
      <patternFill patternType="solid">
        <fgColor rgb="FFFCE4E4"/>
      </patternFill>
    </fill>
    <fill>
      <patternFill patternType="solid">
        <fgColor rgb="FFFDF3E0"/>
      </patternFill>
    </fill>
    <fill>
      <patternFill patternType="solid">
        <fgColor rgb="FFE4F4EC"/>
      </patternFill>
    </fill>
    <fill>
      <patternFill patternType="solid">
        <fgColor rgb="FF1B5FA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>
        <color rgb="FF1D9E75"/>
      </bottom>
      <diagonal/>
    </border>
    <border>
      <left/>
      <right/>
      <top style="thin">
        <color rgb="FF64748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6" fillId="2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6">
    <dxf>
      <font>
        <b/>
        <color rgb="FF85182F"/>
      </font>
      <fill>
        <patternFill patternType="solid">
          <bgColor rgb="FFFCE4E4"/>
        </patternFill>
      </fill>
    </dxf>
    <dxf>
      <font>
        <color rgb="FF1D7A54"/>
      </font>
      <fill>
        <patternFill patternType="solid">
          <bgColor rgb="FFE4F4EC"/>
        </patternFill>
      </fill>
    </dxf>
    <dxf>
      <font>
        <color rgb="FF0C447C"/>
      </font>
      <fill>
        <patternFill patternType="solid">
          <bgColor rgb="FFE8EEF6"/>
        </patternFill>
      </fill>
    </dxf>
    <dxf>
      <font>
        <b/>
        <color rgb="FF85182F"/>
      </font>
      <fill>
        <patternFill patternType="solid">
          <bgColor rgb="FFFCE4E4"/>
        </patternFill>
      </fill>
    </dxf>
    <dxf>
      <font>
        <color rgb="FF9A6A00"/>
      </font>
      <fill>
        <patternFill patternType="solid">
          <bgColor rgb="FFFDF3E0"/>
        </patternFill>
      </fill>
    </dxf>
    <dxf>
      <font>
        <b/>
        <color rgb="FF1D7A54"/>
      </font>
      <fill>
        <patternFill patternType="solid">
          <bgColor rgb="FFE4F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447C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9" customWidth="1"/>
    <col min="3" max="3" width="28" customWidth="1"/>
    <col min="4" max="4" width="22" customWidth="1"/>
    <col min="5" max="5" width="23" customWidth="1"/>
    <col min="6" max="7" width="11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3" t="s">
        <v>8</v>
      </c>
      <c r="D2" s="4">
        <v>2.4</v>
      </c>
      <c r="E2" s="4">
        <v>3.6</v>
      </c>
      <c r="F2" s="3" t="s">
        <v>9</v>
      </c>
      <c r="G2" s="3" t="s">
        <v>10</v>
      </c>
    </row>
    <row r="3" spans="1:7" x14ac:dyDescent="0.25">
      <c r="A3" s="5">
        <v>2</v>
      </c>
      <c r="B3" s="6" t="s">
        <v>11</v>
      </c>
      <c r="C3" s="6" t="s">
        <v>12</v>
      </c>
      <c r="D3" s="7">
        <v>2</v>
      </c>
      <c r="E3" s="7">
        <v>3.5</v>
      </c>
      <c r="F3" s="6" t="s">
        <v>9</v>
      </c>
      <c r="G3" s="6" t="s">
        <v>13</v>
      </c>
    </row>
    <row r="4" spans="1:7" x14ac:dyDescent="0.25">
      <c r="A4" s="2">
        <v>3</v>
      </c>
      <c r="B4" s="3" t="s">
        <v>14</v>
      </c>
      <c r="C4" s="3" t="s">
        <v>15</v>
      </c>
      <c r="D4" s="4">
        <v>4</v>
      </c>
      <c r="E4" s="4">
        <v>6</v>
      </c>
      <c r="F4" s="3" t="s">
        <v>9</v>
      </c>
      <c r="G4" s="3" t="s">
        <v>16</v>
      </c>
    </row>
    <row r="5" spans="1:7" x14ac:dyDescent="0.25">
      <c r="A5" s="5">
        <v>4</v>
      </c>
      <c r="B5" s="6" t="s">
        <v>17</v>
      </c>
      <c r="C5" s="6" t="s">
        <v>18</v>
      </c>
      <c r="D5" s="7">
        <v>0.9</v>
      </c>
      <c r="E5" s="7">
        <v>1.6</v>
      </c>
      <c r="F5" s="6" t="s">
        <v>9</v>
      </c>
      <c r="G5" s="6" t="s">
        <v>13</v>
      </c>
    </row>
    <row r="6" spans="1:7" x14ac:dyDescent="0.25">
      <c r="A6" s="2">
        <v>5</v>
      </c>
      <c r="B6" s="3" t="s">
        <v>19</v>
      </c>
      <c r="C6" s="3" t="s">
        <v>20</v>
      </c>
      <c r="D6" s="4">
        <v>5</v>
      </c>
      <c r="E6" s="4">
        <v>10</v>
      </c>
      <c r="F6" s="3" t="s">
        <v>9</v>
      </c>
      <c r="G6" s="3" t="s">
        <v>13</v>
      </c>
    </row>
    <row r="7" spans="1:7" x14ac:dyDescent="0.25">
      <c r="A7" s="5">
        <v>6</v>
      </c>
      <c r="B7" s="6" t="s">
        <v>21</v>
      </c>
      <c r="C7" s="6" t="s">
        <v>22</v>
      </c>
      <c r="D7" s="7">
        <v>1.5</v>
      </c>
      <c r="E7" s="7">
        <v>2.5</v>
      </c>
      <c r="F7" s="6" t="s">
        <v>9</v>
      </c>
      <c r="G7" s="6" t="s">
        <v>10</v>
      </c>
    </row>
    <row r="8" spans="1:7" x14ac:dyDescent="0.25">
      <c r="A8" s="2">
        <v>7</v>
      </c>
      <c r="B8" s="3" t="s">
        <v>23</v>
      </c>
      <c r="C8" s="3" t="s">
        <v>24</v>
      </c>
      <c r="D8" s="4">
        <v>2</v>
      </c>
      <c r="E8" s="4">
        <v>3</v>
      </c>
      <c r="F8" s="3" t="s">
        <v>25</v>
      </c>
      <c r="G8" s="3" t="s">
        <v>16</v>
      </c>
    </row>
  </sheetData>
  <conditionalFormatting sqref="G2:G8">
    <cfRule type="cellIs" dxfId="0" priority="1" operator="equal">
      <formula>"At Risk"</formula>
    </cfRule>
    <cfRule type="cellIs" dxfId="1" priority="2" operator="equal">
      <formula>"On Track"</formula>
    </cfRule>
    <cfRule type="cellIs" dxfId="2" priority="3" operator="equal">
      <formula>"Executing"</formula>
    </cfRule>
  </conditionalFormatting>
  <conditionalFormatting sqref="A2:A8">
    <cfRule type="colorScale" priority="1">
      <colorScale>
        <cfvo type="min"/>
        <cfvo type="percentile" val="50"/>
        <cfvo type="max"/>
        <color rgb="FFDDEFF0"/>
        <color rgb="FF7FC7CB"/>
        <color rgb="FF2E9098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9E75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3" width="23" customWidth="1"/>
    <col min="4" max="4" width="18" customWidth="1"/>
    <col min="5" max="5" width="19" customWidth="1"/>
    <col min="6" max="6" width="25" customWidth="1"/>
    <col min="7" max="7" width="13" customWidth="1"/>
  </cols>
  <sheetData>
    <row r="1" ht="24" customHeight="1" spans="1:7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s="3" t="s">
        <v>33</v>
      </c>
      <c r="B2" s="3" t="s">
        <v>34</v>
      </c>
      <c r="C2" s="3" t="s">
        <v>35</v>
      </c>
      <c r="D2" s="4">
        <v>2.4</v>
      </c>
      <c r="E2" s="4">
        <v>3.6</v>
      </c>
      <c r="F2" s="2">
        <v>82</v>
      </c>
      <c r="G2" s="8" t="s">
        <v>16</v>
      </c>
    </row>
    <row r="3" spans="1:7" x14ac:dyDescent="0.25">
      <c r="A3" s="6" t="s">
        <v>36</v>
      </c>
      <c r="B3" s="6" t="s">
        <v>37</v>
      </c>
      <c r="C3" s="6" t="s">
        <v>38</v>
      </c>
      <c r="D3" s="7">
        <v>4</v>
      </c>
      <c r="E3" s="7">
        <v>6</v>
      </c>
      <c r="F3" s="5">
        <v>90</v>
      </c>
      <c r="G3" s="8" t="s">
        <v>16</v>
      </c>
    </row>
    <row r="4" spans="1:7" x14ac:dyDescent="0.25">
      <c r="A4" s="3" t="s">
        <v>39</v>
      </c>
      <c r="B4" s="3" t="s">
        <v>40</v>
      </c>
      <c r="C4" s="3" t="s">
        <v>41</v>
      </c>
      <c r="D4" s="4">
        <v>2</v>
      </c>
      <c r="E4" s="4">
        <v>3.5</v>
      </c>
      <c r="F4" s="2">
        <v>74</v>
      </c>
      <c r="G4" s="9" t="s">
        <v>42</v>
      </c>
    </row>
    <row r="5" spans="1:7" x14ac:dyDescent="0.25">
      <c r="A5" s="6" t="s">
        <v>43</v>
      </c>
      <c r="B5" s="6" t="s">
        <v>44</v>
      </c>
      <c r="C5" s="6" t="s">
        <v>45</v>
      </c>
      <c r="D5" s="7">
        <v>0.9</v>
      </c>
      <c r="E5" s="7">
        <v>1.6</v>
      </c>
      <c r="F5" s="5">
        <v>68</v>
      </c>
      <c r="G5" s="9" t="s">
        <v>42</v>
      </c>
    </row>
    <row r="6" spans="1:7" x14ac:dyDescent="0.25">
      <c r="A6" s="3" t="s">
        <v>46</v>
      </c>
      <c r="B6" s="3" t="s">
        <v>47</v>
      </c>
      <c r="C6" s="3" t="s">
        <v>48</v>
      </c>
      <c r="D6" s="4">
        <v>2</v>
      </c>
      <c r="E6" s="4">
        <v>3</v>
      </c>
      <c r="F6" s="2">
        <v>66</v>
      </c>
      <c r="G6" s="10" t="s">
        <v>13</v>
      </c>
    </row>
    <row r="7" spans="1:7" x14ac:dyDescent="0.25">
      <c r="A7" s="6" t="s">
        <v>49</v>
      </c>
      <c r="B7" s="6" t="s">
        <v>50</v>
      </c>
      <c r="C7" s="6" t="s">
        <v>51</v>
      </c>
      <c r="D7" s="7">
        <v>0.6</v>
      </c>
      <c r="E7" s="7">
        <v>1.1</v>
      </c>
      <c r="F7" s="5">
        <v>60</v>
      </c>
      <c r="G7" s="10" t="s">
        <v>13</v>
      </c>
    </row>
    <row r="8" spans="1:7" x14ac:dyDescent="0.25">
      <c r="A8" s="11" t="s">
        <v>52</v>
      </c>
      <c r="B8" s="11" t="s">
        <v>53</v>
      </c>
      <c r="C8" s="11" t="s">
        <v>53</v>
      </c>
      <c r="D8" s="12">
        <f>SUM(D2:D7)</f>
      </c>
      <c r="E8" s="12">
        <f>SUM(E2:E7)</f>
      </c>
      <c r="F8" s="13">
        <f>ROUND(AVERAGE(F2:F7),0)</f>
      </c>
      <c r="G8" s="11" t="s">
        <v>53</v>
      </c>
    </row>
  </sheetData>
  <conditionalFormatting sqref="F2:F8">
    <cfRule type="colorScale" priority="1">
      <colorScale>
        <cfvo type="min"/>
        <cfvo type="percentile" val="50"/>
        <cfvo type="max"/>
        <color rgb="FFDDEFF0"/>
        <color rgb="FF7FC7CB"/>
        <color rgb="FF2E9098"/>
      </colorScale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4" width="30" customWidth="1"/>
  </cols>
  <sheetData>
    <row r="1" ht="24" customHeight="1" spans="1:4" x14ac:dyDescent="0.25">
      <c r="A1" s="1" t="s">
        <v>54</v>
      </c>
      <c r="B1" s="1" t="s">
        <v>27</v>
      </c>
      <c r="C1" s="1" t="s">
        <v>55</v>
      </c>
      <c r="D1" s="1" t="s">
        <v>56</v>
      </c>
    </row>
    <row r="2" spans="1:4" x14ac:dyDescent="0.25">
      <c r="A2" s="3" t="s">
        <v>57</v>
      </c>
      <c r="B2" s="3" t="s">
        <v>58</v>
      </c>
      <c r="C2" s="3" t="s">
        <v>59</v>
      </c>
      <c r="D2" s="3" t="s">
        <v>60</v>
      </c>
    </row>
    <row r="3" spans="1:4" x14ac:dyDescent="0.25">
      <c r="A3" s="6" t="s">
        <v>61</v>
      </c>
      <c r="B3" s="6" t="s">
        <v>62</v>
      </c>
      <c r="C3" s="6" t="s">
        <v>63</v>
      </c>
      <c r="D3" s="6" t="s">
        <v>64</v>
      </c>
    </row>
    <row r="4" spans="1:4" x14ac:dyDescent="0.25">
      <c r="A4" s="3" t="s">
        <v>65</v>
      </c>
      <c r="B4" s="3" t="s">
        <v>58</v>
      </c>
      <c r="C4" s="3" t="s">
        <v>66</v>
      </c>
      <c r="D4" s="3" t="s">
        <v>67</v>
      </c>
    </row>
    <row r="5" spans="1:4" x14ac:dyDescent="0.25">
      <c r="A5" s="6" t="s">
        <v>68</v>
      </c>
      <c r="B5" s="6" t="s">
        <v>62</v>
      </c>
      <c r="C5" s="6" t="s">
        <v>69</v>
      </c>
      <c r="D5" s="6" t="s">
        <v>70</v>
      </c>
    </row>
    <row r="6" spans="1:4" x14ac:dyDescent="0.25">
      <c r="A6" s="3" t="s">
        <v>71</v>
      </c>
      <c r="B6" s="3" t="s">
        <v>58</v>
      </c>
      <c r="C6" s="3" t="s">
        <v>72</v>
      </c>
      <c r="D6" s="3" t="s">
        <v>20</v>
      </c>
    </row>
    <row r="7" spans="1:4" x14ac:dyDescent="0.25">
      <c r="A7" s="6" t="s">
        <v>73</v>
      </c>
      <c r="B7" s="6" t="s">
        <v>62</v>
      </c>
      <c r="C7" s="6" t="s">
        <v>74</v>
      </c>
      <c r="D7" s="6" t="s">
        <v>12</v>
      </c>
    </row>
    <row r="8" spans="1:4" x14ac:dyDescent="0.25">
      <c r="A8" s="3" t="s">
        <v>75</v>
      </c>
      <c r="B8" s="3" t="s">
        <v>58</v>
      </c>
      <c r="C8" s="3" t="s">
        <v>76</v>
      </c>
      <c r="D8" s="3" t="s">
        <v>77</v>
      </c>
    </row>
    <row r="9" spans="1:4" x14ac:dyDescent="0.25">
      <c r="A9" s="6" t="s">
        <v>78</v>
      </c>
      <c r="B9" s="6" t="s">
        <v>58</v>
      </c>
      <c r="C9" s="6" t="s">
        <v>79</v>
      </c>
      <c r="D9" s="6" t="s">
        <v>80</v>
      </c>
    </row>
    <row r="10" spans="1:4" x14ac:dyDescent="0.25">
      <c r="A10" s="3" t="s">
        <v>81</v>
      </c>
      <c r="B10" s="3" t="s">
        <v>82</v>
      </c>
      <c r="C10" s="3" t="s">
        <v>83</v>
      </c>
      <c r="D10" s="3" t="s">
        <v>84</v>
      </c>
    </row>
    <row r="11" spans="1:4" x14ac:dyDescent="0.25">
      <c r="A11" s="6" t="s">
        <v>85</v>
      </c>
      <c r="B11" s="6" t="s">
        <v>62</v>
      </c>
      <c r="C11" s="6" t="s">
        <v>86</v>
      </c>
      <c r="D11" s="6" t="s">
        <v>87</v>
      </c>
    </row>
  </sheetData>
  <conditionalFormatting sqref="B2:B11">
    <cfRule type="cellIs" dxfId="3" priority="1" operator="equal">
      <formula>"Needs evidence"</formula>
    </cfRule>
    <cfRule type="cellIs" dxfId="4" priority="2" operator="equal">
      <formula>"Partial"</formula>
    </cfRule>
    <cfRule type="cellIs" dxfId="5" priority="3" operator="equal">
      <formula>"Yes"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B9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64" customWidth="1"/>
  </cols>
  <sheetData>
    <row r="1" ht="28" customHeight="1" spans="1:2" x14ac:dyDescent="0.25">
      <c r="A1" s="14" t="s">
        <v>88</v>
      </c>
      <c r="B1" s="14"/>
    </row>
    <row r="2" ht="18" customHeight="1" spans="1:2" x14ac:dyDescent="0.25">
      <c r="A2" s="15" t="s">
        <v>89</v>
      </c>
      <c r="B2" s="15"/>
    </row>
    <row r="4" spans="1:2" x14ac:dyDescent="0.25">
      <c r="A4" s="16" t="s">
        <v>90</v>
      </c>
      <c r="B4" s="17" t="s">
        <v>91</v>
      </c>
    </row>
    <row r="5" spans="1:2" x14ac:dyDescent="0.25">
      <c r="A5" s="16" t="s">
        <v>92</v>
      </c>
      <c r="B5" s="17" t="s">
        <v>93</v>
      </c>
    </row>
    <row r="6" spans="1:2" x14ac:dyDescent="0.25">
      <c r="A6" s="16" t="s">
        <v>94</v>
      </c>
      <c r="B6" s="17" t="s">
        <v>95</v>
      </c>
    </row>
    <row r="7" spans="1:2" x14ac:dyDescent="0.25">
      <c r="A7" s="16" t="s">
        <v>96</v>
      </c>
      <c r="B7" s="17" t="s">
        <v>97</v>
      </c>
    </row>
    <row r="8" spans="1:2" x14ac:dyDescent="0.25">
      <c r="A8" s="16" t="s">
        <v>98</v>
      </c>
      <c r="B8" s="17" t="s">
        <v>99</v>
      </c>
    </row>
    <row r="9" spans="1:2" x14ac:dyDescent="0.25">
      <c r="A9" s="16" t="s">
        <v>100</v>
      </c>
      <c r="B9" s="17" t="s">
        <v>101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Wave 1 Portfolio</vt:lpstr>
      <vt:lpstr>Value at Stake</vt:lpstr>
      <vt:lpstr>US Readiness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2026-07-03T05:17:55Z</dcterms:created>
  <dcterms:modified xsi:type="dcterms:W3CDTF">2026-07-03T05:17:55Z</dcterms:modified>
</cp:coreProperties>
</file>