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łożenia" state="visible" r:id="rId4"/>
    <sheet sheetId="2" name="P&amp;L 3-letni" state="visible" r:id="rId5"/>
    <sheet sheetId="3" name="Wskaźniki" state="visible" r:id="rId6"/>
  </sheets>
  <calcPr calcId="171027"/>
</workbook>
</file>

<file path=xl/sharedStrings.xml><?xml version="1.0" encoding="utf-8"?>
<sst xmlns="http://schemas.openxmlformats.org/spreadsheetml/2006/main" count="34" uniqueCount="31">
  <si>
    <t>Parametr</t>
  </si>
  <si>
    <t>Wartość</t>
  </si>
  <si>
    <t>Jednostka</t>
  </si>
  <si>
    <t>Przychód bazowy (rok 1)</t>
  </si>
  <si>
    <t>zł</t>
  </si>
  <si>
    <t>Wzrost przychodów r/r</t>
  </si>
  <si>
    <t>%</t>
  </si>
  <si>
    <t>Marża COGS</t>
  </si>
  <si>
    <t>Koszt wdrożenia AI</t>
  </si>
  <si>
    <t>Stopa podatkowa</t>
  </si>
  <si>
    <t>Pozycja</t>
  </si>
  <si>
    <t>2026</t>
  </si>
  <si>
    <t>2027</t>
  </si>
  <si>
    <t>2028</t>
  </si>
  <si>
    <t>Marża netto</t>
  </si>
  <si>
    <t>Przychody</t>
  </si>
  <si>
    <t>COGS</t>
  </si>
  <si>
    <t>Zysk brutto</t>
  </si>
  <si>
    <t>Koszty operacyjne</t>
  </si>
  <si>
    <t>EBIT</t>
  </si>
  <si>
    <t>Podatek</t>
  </si>
  <si>
    <t>Zysk netto</t>
  </si>
  <si>
    <t>Inicjatywa</t>
  </si>
  <si>
    <t>AI Readiness Score</t>
  </si>
  <si>
    <t>Priorytet</t>
  </si>
  <si>
    <t>ROI</t>
  </si>
  <si>
    <t>Automatyzacja obsługi</t>
  </si>
  <si>
    <t>Predykcja popytu</t>
  </si>
  <si>
    <t>Kontrola jakości CV</t>
  </si>
  <si>
    <t>Optymalizacja energii</t>
  </si>
  <si>
    <t>Chatbot wewnętrzny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</si>
</sst>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0" fontId="2" fillId="3" borderId="2" xfId="0" applyFont="1" applyFill="1" applyBorder="1"/>
    <xf numFmtId="4" fontId="2" fillId="3" borderId="2" xfId="0" applyNumberFormat="1" applyFont="1" applyFill="1" applyBorder="1"/>
    <xf numFmtId="10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3" max="3" width="11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4200000</v>
      </c>
      <c r="C2" t="s">
        <v>4</v>
      </c>
    </row>
    <row r="3" spans="1:3" x14ac:dyDescent="0.25">
      <c r="A3" t="s">
        <v>5</v>
      </c>
      <c r="B3" s="2">
        <v>0.18</v>
      </c>
      <c r="C3" t="s">
        <v>6</v>
      </c>
    </row>
    <row r="4" spans="1:3" x14ac:dyDescent="0.25">
      <c r="A4" t="s">
        <v>7</v>
      </c>
      <c r="B4" s="2">
        <v>0.34</v>
      </c>
      <c r="C4" t="s">
        <v>6</v>
      </c>
    </row>
    <row r="5" spans="1:3" x14ac:dyDescent="0.25">
      <c r="A5" t="s">
        <v>8</v>
      </c>
      <c r="B5" s="2">
        <v>950000</v>
      </c>
      <c r="C5" t="s">
        <v>4</v>
      </c>
    </row>
    <row r="6" spans="1:3" x14ac:dyDescent="0.25">
      <c r="A6" t="s">
        <v>9</v>
      </c>
      <c r="B6" s="2">
        <v>0.19</v>
      </c>
      <c r="C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4" width="24" customWidth="1"/>
    <col min="5" max="5" width="13" customWidth="1"/>
  </cols>
  <sheetData>
    <row r="1" ht="24" customHeight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 s="3">
        <v>4200000</v>
      </c>
      <c r="C2" s="3">
        <f>=B2*(1+'Założenia'!B3)</f>
      </c>
      <c r="D2" s="3">
        <f>=C2*(1+'Założenia'!B3)</f>
      </c>
      <c r="E2" s="4"/>
    </row>
    <row r="3" spans="1:5" x14ac:dyDescent="0.25">
      <c r="A3" t="s">
        <v>16</v>
      </c>
      <c r="B3" s="3">
        <f>=B2*'Założenia'!B4</f>
      </c>
      <c r="C3" s="3">
        <f>=C2*'Założenia'!B4</f>
      </c>
      <c r="D3" s="3">
        <f>=D2*'Założenia'!B4</f>
      </c>
      <c r="E3" s="4"/>
    </row>
    <row r="4" spans="1:5" x14ac:dyDescent="0.25">
      <c r="A4" s="5" t="s">
        <v>17</v>
      </c>
      <c r="B4" s="6">
        <f>=B2-B3</f>
      </c>
      <c r="C4" s="6">
        <f>=C2-C3</f>
      </c>
      <c r="D4" s="6">
        <f>=D2-D3</f>
      </c>
      <c r="E4" s="7">
        <f>=B4/B2</f>
      </c>
    </row>
    <row r="5" spans="1:5" x14ac:dyDescent="0.25">
      <c r="A5" t="s">
        <v>18</v>
      </c>
      <c r="B5" s="3">
        <v>1400000</v>
      </c>
      <c r="C5" s="3">
        <v>1560000</v>
      </c>
      <c r="D5" s="3">
        <v>1690000</v>
      </c>
      <c r="E5" s="4"/>
    </row>
    <row r="6" spans="1:5" x14ac:dyDescent="0.25">
      <c r="A6" s="5" t="s">
        <v>19</v>
      </c>
      <c r="B6" s="6">
        <f>=B4-B5</f>
      </c>
      <c r="C6" s="6">
        <f>=C4-C5</f>
      </c>
      <c r="D6" s="6">
        <f>=D4-D5</f>
      </c>
      <c r="E6" s="7">
        <f>=B6/B2</f>
      </c>
    </row>
    <row r="7" spans="1:5" x14ac:dyDescent="0.25">
      <c r="A7" t="s">
        <v>20</v>
      </c>
      <c r="B7" s="3">
        <f>=B6*'Założenia'!B6</f>
      </c>
      <c r="C7" s="3">
        <f>=C6*'Założenia'!B6</f>
      </c>
      <c r="D7" s="3">
        <f>=D6*'Założenia'!B6</f>
      </c>
      <c r="E7" s="4"/>
    </row>
    <row r="8" spans="1:5" x14ac:dyDescent="0.25">
      <c r="A8" s="5" t="s">
        <v>21</v>
      </c>
      <c r="B8" s="6">
        <f>=B6-B7</f>
      </c>
      <c r="C8" s="6">
        <f>=C6-C7</f>
      </c>
      <c r="D8" s="6">
        <f>=D6-D7</f>
      </c>
      <c r="E8" s="7">
        <f>=B8/B2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0" customWidth="1"/>
    <col min="3" max="3" width="11" customWidth="1"/>
    <col min="4" max="4" width="8" customWidth="1"/>
  </cols>
  <sheetData>
    <row r="1" ht="24" customHeight="1" spans="1:4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25">
      <c r="A2" t="s">
        <v>26</v>
      </c>
      <c r="B2" s="2">
        <v>72</v>
      </c>
      <c r="C2" s="2">
        <v>1</v>
      </c>
      <c r="D2" s="4">
        <v>0.31</v>
      </c>
    </row>
    <row r="3" spans="1:4" x14ac:dyDescent="0.25">
      <c r="A3" t="s">
        <v>27</v>
      </c>
      <c r="B3" s="2">
        <v>58</v>
      </c>
      <c r="C3" s="2">
        <v>2</v>
      </c>
      <c r="D3" s="4">
        <v>0.22</v>
      </c>
    </row>
    <row r="4" spans="1:4" x14ac:dyDescent="0.25">
      <c r="A4" t="s">
        <v>28</v>
      </c>
      <c r="B4" s="2">
        <v>84</v>
      </c>
      <c r="C4" s="2">
        <v>1</v>
      </c>
      <c r="D4" s="4">
        <v>0.45</v>
      </c>
    </row>
    <row r="5" spans="1:4" x14ac:dyDescent="0.25">
      <c r="A5" t="s">
        <v>29</v>
      </c>
      <c r="B5" s="2">
        <v>41</v>
      </c>
      <c r="C5" s="2">
        <v>3</v>
      </c>
      <c r="D5" s="4">
        <v>0.12</v>
      </c>
    </row>
    <row r="6" spans="1:4" x14ac:dyDescent="0.25">
      <c r="A6" t="s">
        <v>30</v>
      </c>
      <c r="B6" s="2">
        <v>66</v>
      </c>
      <c r="C6" s="2">
        <v>2</v>
      </c>
      <c r="D6" s="4">
        <v>0.19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Założenia</vt:lpstr>
      <vt:lpstr>P&amp;L 3-letni</vt:lpstr>
      <vt:lpstr>Wskaźniki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2026-07-02T11:37:25Z</dcterms:created>
  <dcterms:modified xsi:type="dcterms:W3CDTF">2026-07-02T11:37:25Z</dcterms:modified>
</cp:coreProperties>
</file>